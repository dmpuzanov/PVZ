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Пользователь\Documents\000 PVZ.Flow\"/>
    </mc:Choice>
  </mc:AlternateContent>
  <xr:revisionPtr revIDLastSave="0" documentId="13_ncr:1_{EB990C5C-7EA4-4FDA-8CBE-3BF392875159}" xr6:coauthVersionLast="36" xr6:coauthVersionMax="36" xr10:uidLastSave="{00000000-0000-0000-0000-000000000000}"/>
  <bookViews>
    <workbookView xWindow="0" yWindow="0" windowWidth="23040" windowHeight="9684" firstSheet="1" activeTab="6" xr2:uid="{00000000-000D-0000-FFFF-FFFF00000000}"/>
  </bookViews>
  <sheets>
    <sheet name="01_Справочник_Товары" sheetId="2" r:id="rId1"/>
    <sheet name="02Тариф" sheetId="3" r:id="rId2"/>
    <sheet name="Motivation" sheetId="15" r:id="rId3"/>
    <sheet name="05Движение" sheetId="7" r:id="rId4"/>
    <sheet name="06НачисленияДни" sheetId="6" r:id="rId5"/>
    <sheet name="07НачисленияАртикул" sheetId="9" r:id="rId6"/>
    <sheet name="Счет" sheetId="10" r:id="rId7"/>
  </sheets>
  <calcPr calcId="191029"/>
</workbook>
</file>

<file path=xl/calcChain.xml><?xml version="1.0" encoding="utf-8"?>
<calcChain xmlns="http://schemas.openxmlformats.org/spreadsheetml/2006/main">
  <c r="K23" i="3" l="1"/>
  <c r="J23" i="3"/>
  <c r="I23" i="3"/>
  <c r="J22" i="3"/>
  <c r="I22" i="3"/>
  <c r="K22" i="3" s="1"/>
  <c r="J21" i="3"/>
  <c r="I21" i="3"/>
  <c r="K21" i="3" s="1"/>
  <c r="J20" i="3"/>
  <c r="I20" i="3"/>
  <c r="K20" i="3" s="1"/>
  <c r="J19" i="3"/>
  <c r="K19" i="3" s="1"/>
  <c r="I19" i="3"/>
  <c r="J18" i="3"/>
  <c r="K18" i="3" s="1"/>
  <c r="I18" i="3"/>
  <c r="J17" i="3"/>
  <c r="I17" i="3"/>
  <c r="K17" i="3" s="1"/>
  <c r="J9" i="3"/>
  <c r="I9" i="3"/>
  <c r="J8" i="3"/>
  <c r="K8" i="3" s="1"/>
  <c r="I8" i="3"/>
  <c r="J7" i="3"/>
  <c r="I7" i="3"/>
  <c r="J6" i="3"/>
  <c r="I6" i="3"/>
  <c r="J5" i="3"/>
  <c r="K5" i="3" s="1"/>
  <c r="I5" i="3"/>
  <c r="J4" i="3"/>
  <c r="I4" i="3"/>
  <c r="K3" i="3"/>
  <c r="J3" i="3"/>
  <c r="I3" i="3"/>
  <c r="H4" i="3"/>
  <c r="H5" i="3"/>
  <c r="H6" i="3"/>
  <c r="H7" i="3"/>
  <c r="H8" i="3"/>
  <c r="H9" i="3"/>
  <c r="H3" i="3"/>
  <c r="H18" i="3"/>
  <c r="H19" i="3"/>
  <c r="H20" i="3"/>
  <c r="H21" i="3"/>
  <c r="H22" i="3"/>
  <c r="H23" i="3"/>
  <c r="H17" i="3"/>
  <c r="K9" i="3" l="1"/>
  <c r="K7" i="3"/>
  <c r="K6" i="3"/>
  <c r="K4" i="3"/>
  <c r="K150" i="15"/>
  <c r="I162" i="15"/>
  <c r="I150" i="15"/>
  <c r="F9" i="2"/>
  <c r="I9" i="2" s="1"/>
  <c r="F8" i="2"/>
  <c r="I8" i="2" s="1"/>
  <c r="E8" i="2"/>
  <c r="E3" i="2"/>
  <c r="E9" i="2"/>
  <c r="I4" i="2"/>
  <c r="I3" i="2"/>
  <c r="A65" i="10" l="1"/>
  <c r="D64" i="10"/>
  <c r="C64" i="10"/>
  <c r="E64" i="10" s="1"/>
  <c r="B64" i="10"/>
  <c r="A64" i="10"/>
  <c r="D63" i="10"/>
  <c r="C63" i="10"/>
  <c r="E63" i="10" s="1"/>
  <c r="B63" i="10"/>
  <c r="A63" i="10"/>
  <c r="D62" i="10"/>
  <c r="C62" i="10"/>
  <c r="E62" i="10" s="1"/>
  <c r="B62" i="10"/>
  <c r="A62" i="10"/>
  <c r="E61" i="10"/>
  <c r="D61" i="10"/>
  <c r="C61" i="10"/>
  <c r="B61" i="10"/>
  <c r="A61" i="10"/>
  <c r="D60" i="10"/>
  <c r="E60" i="10" s="1"/>
  <c r="C60" i="10"/>
  <c r="B60" i="10"/>
  <c r="A60" i="10"/>
  <c r="D59" i="10"/>
  <c r="C59" i="10"/>
  <c r="B59" i="10"/>
  <c r="A59" i="10"/>
  <c r="D58" i="10"/>
  <c r="C58" i="10"/>
  <c r="B58" i="10"/>
  <c r="A58" i="10"/>
  <c r="A56" i="10"/>
  <c r="D55" i="10"/>
  <c r="C55" i="10"/>
  <c r="E55" i="10" s="1"/>
  <c r="B55" i="10"/>
  <c r="A55" i="10"/>
  <c r="D54" i="10"/>
  <c r="C54" i="10"/>
  <c r="E54" i="10" s="1"/>
  <c r="B54" i="10"/>
  <c r="A54" i="10"/>
  <c r="D53" i="10"/>
  <c r="C53" i="10"/>
  <c r="B53" i="10"/>
  <c r="A53" i="10"/>
  <c r="D52" i="10"/>
  <c r="C52" i="10"/>
  <c r="B52" i="10"/>
  <c r="A52" i="10"/>
  <c r="D51" i="10"/>
  <c r="C51" i="10"/>
  <c r="B51" i="10"/>
  <c r="A51" i="10"/>
  <c r="D50" i="10"/>
  <c r="C50" i="10"/>
  <c r="E50" i="10" s="1"/>
  <c r="B50" i="10"/>
  <c r="A50" i="10"/>
  <c r="D49" i="10"/>
  <c r="C49" i="10"/>
  <c r="B49" i="10"/>
  <c r="A49" i="10"/>
  <c r="A47" i="10"/>
  <c r="D46" i="10"/>
  <c r="C46" i="10"/>
  <c r="B46" i="10"/>
  <c r="A46" i="10"/>
  <c r="D45" i="10"/>
  <c r="C45" i="10"/>
  <c r="E45" i="10" s="1"/>
  <c r="B45" i="10"/>
  <c r="A45" i="10"/>
  <c r="D44" i="10"/>
  <c r="C44" i="10"/>
  <c r="B44" i="10"/>
  <c r="A44" i="10"/>
  <c r="D43" i="10"/>
  <c r="C43" i="10"/>
  <c r="E43" i="10" s="1"/>
  <c r="B43" i="10"/>
  <c r="A43" i="10"/>
  <c r="D42" i="10"/>
  <c r="C42" i="10"/>
  <c r="B42" i="10"/>
  <c r="A42" i="10"/>
  <c r="D41" i="10"/>
  <c r="C41" i="10"/>
  <c r="E41" i="10" s="1"/>
  <c r="B41" i="10"/>
  <c r="A41" i="10"/>
  <c r="E40" i="10"/>
  <c r="D40" i="10"/>
  <c r="C40" i="10"/>
  <c r="B40" i="10"/>
  <c r="A40" i="10"/>
  <c r="A38" i="10"/>
  <c r="D37" i="10"/>
  <c r="C37" i="10"/>
  <c r="E37" i="10" s="1"/>
  <c r="B37" i="10"/>
  <c r="A37" i="10"/>
  <c r="D36" i="10"/>
  <c r="C36" i="10"/>
  <c r="E36" i="10" s="1"/>
  <c r="B36" i="10"/>
  <c r="A36" i="10"/>
  <c r="D35" i="10"/>
  <c r="C35" i="10"/>
  <c r="E35" i="10" s="1"/>
  <c r="B35" i="10"/>
  <c r="A35" i="10"/>
  <c r="D34" i="10"/>
  <c r="C34" i="10"/>
  <c r="E34" i="10" s="1"/>
  <c r="B34" i="10"/>
  <c r="A34" i="10"/>
  <c r="D33" i="10"/>
  <c r="C33" i="10"/>
  <c r="B33" i="10"/>
  <c r="A33" i="10"/>
  <c r="D32" i="10"/>
  <c r="C32" i="10"/>
  <c r="E32" i="10" s="1"/>
  <c r="B32" i="10"/>
  <c r="A32" i="10"/>
  <c r="D31" i="10"/>
  <c r="C31" i="10"/>
  <c r="B31" i="10"/>
  <c r="A31" i="10"/>
  <c r="A29" i="10"/>
  <c r="D28" i="10"/>
  <c r="C28" i="10"/>
  <c r="E28" i="10" s="1"/>
  <c r="B28" i="10"/>
  <c r="A28" i="10"/>
  <c r="D27" i="10"/>
  <c r="C27" i="10"/>
  <c r="B27" i="10"/>
  <c r="A27" i="10"/>
  <c r="D26" i="10"/>
  <c r="C26" i="10"/>
  <c r="E26" i="10" s="1"/>
  <c r="B26" i="10"/>
  <c r="A26" i="10"/>
  <c r="D25" i="10"/>
  <c r="C25" i="10"/>
  <c r="B25" i="10"/>
  <c r="A25" i="10"/>
  <c r="D24" i="10"/>
  <c r="C24" i="10"/>
  <c r="E24" i="10" s="1"/>
  <c r="B24" i="10"/>
  <c r="A24" i="10"/>
  <c r="D23" i="10"/>
  <c r="C23" i="10"/>
  <c r="B23" i="10"/>
  <c r="A23" i="10"/>
  <c r="D22" i="10"/>
  <c r="C22" i="10"/>
  <c r="B22" i="10"/>
  <c r="A22" i="10"/>
  <c r="A20" i="10"/>
  <c r="D19" i="10"/>
  <c r="C19" i="10"/>
  <c r="E19" i="10" s="1"/>
  <c r="B19" i="10"/>
  <c r="A19" i="10"/>
  <c r="D18" i="10"/>
  <c r="C18" i="10"/>
  <c r="B18" i="10"/>
  <c r="A18" i="10"/>
  <c r="D17" i="10"/>
  <c r="E17" i="10" s="1"/>
  <c r="C17" i="10"/>
  <c r="B17" i="10"/>
  <c r="A17" i="10"/>
  <c r="D16" i="10"/>
  <c r="C16" i="10"/>
  <c r="E16" i="10" s="1"/>
  <c r="B16" i="10"/>
  <c r="A16" i="10"/>
  <c r="D15" i="10"/>
  <c r="C15" i="10"/>
  <c r="E15" i="10" s="1"/>
  <c r="B15" i="10"/>
  <c r="A15" i="10"/>
  <c r="D14" i="10"/>
  <c r="C14" i="10"/>
  <c r="E14" i="10" s="1"/>
  <c r="B14" i="10"/>
  <c r="A14" i="10"/>
  <c r="D13" i="10"/>
  <c r="C13" i="10"/>
  <c r="B13" i="10"/>
  <c r="A13" i="10"/>
  <c r="B11" i="10"/>
  <c r="A11" i="10"/>
  <c r="D10" i="10"/>
  <c r="D73" i="10" s="1"/>
  <c r="C10" i="10"/>
  <c r="B10" i="10"/>
  <c r="B73" i="10" s="1"/>
  <c r="A10" i="10"/>
  <c r="D9" i="10"/>
  <c r="C9" i="10"/>
  <c r="B9" i="10"/>
  <c r="B72" i="10" s="1"/>
  <c r="A9" i="10"/>
  <c r="E8" i="10"/>
  <c r="D8" i="10"/>
  <c r="C8" i="10"/>
  <c r="B8" i="10"/>
  <c r="B71" i="10" s="1"/>
  <c r="A8" i="10"/>
  <c r="D7" i="10"/>
  <c r="C7" i="10"/>
  <c r="B7" i="10"/>
  <c r="B70" i="10" s="1"/>
  <c r="A7" i="10"/>
  <c r="D6" i="10"/>
  <c r="C6" i="10"/>
  <c r="E6" i="10" s="1"/>
  <c r="B6" i="10"/>
  <c r="B69" i="10" s="1"/>
  <c r="A6" i="10"/>
  <c r="D5" i="10"/>
  <c r="C5" i="10"/>
  <c r="B5" i="10"/>
  <c r="B68" i="10" s="1"/>
  <c r="A5" i="10"/>
  <c r="D4" i="10"/>
  <c r="C4" i="10"/>
  <c r="B4" i="10"/>
  <c r="B67" i="10" s="1"/>
  <c r="A4" i="10"/>
  <c r="E33" i="10" l="1"/>
  <c r="D65" i="10"/>
  <c r="D68" i="10"/>
  <c r="C56" i="10"/>
  <c r="E51" i="10"/>
  <c r="C68" i="10"/>
  <c r="E23" i="10"/>
  <c r="E25" i="10"/>
  <c r="E42" i="10"/>
  <c r="E44" i="10"/>
  <c r="C65" i="10"/>
  <c r="E5" i="10"/>
  <c r="C70" i="10"/>
  <c r="D70" i="10"/>
  <c r="C72" i="10"/>
  <c r="E72" i="10" s="1"/>
  <c r="E27" i="10"/>
  <c r="D56" i="10"/>
  <c r="E53" i="10"/>
  <c r="C11" i="10"/>
  <c r="D72" i="10"/>
  <c r="E18" i="10"/>
  <c r="C38" i="10"/>
  <c r="D47" i="10"/>
  <c r="E59" i="10"/>
  <c r="D11" i="10"/>
  <c r="C20" i="10"/>
  <c r="C29" i="10"/>
  <c r="D38" i="10"/>
  <c r="D69" i="10"/>
  <c r="C71" i="10"/>
  <c r="D20" i="10"/>
  <c r="D29" i="10"/>
  <c r="E46" i="10"/>
  <c r="D71" i="10"/>
  <c r="C73" i="10"/>
  <c r="E73" i="10" s="1"/>
  <c r="E52" i="10"/>
  <c r="E68" i="10"/>
  <c r="E70" i="10"/>
  <c r="E47" i="10"/>
  <c r="E71" i="10"/>
  <c r="C47" i="10"/>
  <c r="E10" i="10"/>
  <c r="E31" i="10"/>
  <c r="E38" i="10" s="1"/>
  <c r="E22" i="10"/>
  <c r="C67" i="10"/>
  <c r="C69" i="10"/>
  <c r="E69" i="10" s="1"/>
  <c r="E4" i="10"/>
  <c r="E13" i="10"/>
  <c r="E20" i="10" s="1"/>
  <c r="D67" i="10"/>
  <c r="E7" i="10"/>
  <c r="E9" i="10"/>
  <c r="E58" i="10"/>
  <c r="E49" i="10"/>
  <c r="B32" i="3"/>
  <c r="C32" i="3"/>
  <c r="D32" i="3"/>
  <c r="E32" i="3"/>
  <c r="B33" i="3"/>
  <c r="C33" i="3"/>
  <c r="D33" i="3"/>
  <c r="E33" i="3"/>
  <c r="B34" i="3"/>
  <c r="C34" i="3"/>
  <c r="D34" i="3"/>
  <c r="E34" i="3"/>
  <c r="B35" i="3"/>
  <c r="C35" i="3"/>
  <c r="D35" i="3"/>
  <c r="E35" i="3"/>
  <c r="B36" i="3"/>
  <c r="C36" i="3"/>
  <c r="D36" i="3"/>
  <c r="E36" i="3"/>
  <c r="B37" i="3"/>
  <c r="C37" i="3"/>
  <c r="D37" i="3"/>
  <c r="E37" i="3"/>
  <c r="B38" i="3"/>
  <c r="C38" i="3"/>
  <c r="D38" i="3"/>
  <c r="E38" i="3"/>
  <c r="B39" i="3"/>
  <c r="C39" i="3"/>
  <c r="D39" i="3"/>
  <c r="E39" i="3"/>
  <c r="B40" i="3"/>
  <c r="C40" i="3"/>
  <c r="D40" i="3"/>
  <c r="E40" i="3"/>
  <c r="B41" i="3"/>
  <c r="C41" i="3"/>
  <c r="D41" i="3"/>
  <c r="E41" i="3"/>
  <c r="C31" i="3"/>
  <c r="D31" i="3"/>
  <c r="E31" i="3"/>
  <c r="B31" i="3"/>
  <c r="E65" i="10" l="1"/>
  <c r="D74" i="10"/>
  <c r="E56" i="10"/>
  <c r="E29" i="10"/>
  <c r="E11" i="10"/>
  <c r="C74" i="10"/>
  <c r="E67" i="10"/>
  <c r="E74" i="10" s="1"/>
  <c r="B145" i="6"/>
  <c r="B144" i="6"/>
  <c r="B143" i="6"/>
  <c r="B142" i="6"/>
  <c r="B141" i="6"/>
  <c r="B140" i="6"/>
  <c r="B139" i="6"/>
  <c r="F145" i="7"/>
  <c r="E145" i="7"/>
  <c r="D154" i="6" s="1"/>
  <c r="D145" i="7"/>
  <c r="C145" i="7"/>
  <c r="B145" i="7"/>
  <c r="F144" i="7"/>
  <c r="E144" i="7"/>
  <c r="D144" i="7"/>
  <c r="C144" i="7"/>
  <c r="B144" i="7"/>
  <c r="B153" i="6" s="1"/>
  <c r="F143" i="7"/>
  <c r="E143" i="7"/>
  <c r="D143" i="7"/>
  <c r="C143" i="7"/>
  <c r="B143" i="7"/>
  <c r="F142" i="7"/>
  <c r="E142" i="7"/>
  <c r="D142" i="7"/>
  <c r="C151" i="6" s="1"/>
  <c r="C142" i="7"/>
  <c r="B142" i="7"/>
  <c r="F141" i="7"/>
  <c r="E141" i="7"/>
  <c r="D141" i="7"/>
  <c r="C141" i="7"/>
  <c r="B141" i="7"/>
  <c r="F140" i="7"/>
  <c r="E140" i="7"/>
  <c r="D140" i="7"/>
  <c r="C149" i="6" s="1"/>
  <c r="C140" i="7"/>
  <c r="B140" i="7"/>
  <c r="F139" i="7"/>
  <c r="F146" i="7" s="1"/>
  <c r="E139" i="7"/>
  <c r="E146" i="7" s="1"/>
  <c r="D139" i="7"/>
  <c r="D146" i="7" s="1"/>
  <c r="C139" i="7"/>
  <c r="C146" i="7" s="1"/>
  <c r="B139" i="7"/>
  <c r="B137" i="7"/>
  <c r="A137" i="7"/>
  <c r="B128" i="7"/>
  <c r="A128" i="7"/>
  <c r="B119" i="7"/>
  <c r="A119" i="7"/>
  <c r="B110" i="7"/>
  <c r="A110" i="7"/>
  <c r="B101" i="7"/>
  <c r="A101" i="7"/>
  <c r="B92" i="7"/>
  <c r="A92" i="7"/>
  <c r="F74" i="7"/>
  <c r="E74" i="7"/>
  <c r="D74" i="7"/>
  <c r="C74" i="7"/>
  <c r="F73" i="7"/>
  <c r="E73" i="7"/>
  <c r="D73" i="7"/>
  <c r="C73" i="7"/>
  <c r="B73" i="7"/>
  <c r="F72" i="7"/>
  <c r="E72" i="7"/>
  <c r="D72" i="7"/>
  <c r="C72" i="7"/>
  <c r="B72" i="7"/>
  <c r="F71" i="7"/>
  <c r="E71" i="7"/>
  <c r="D71" i="7"/>
  <c r="C71" i="7"/>
  <c r="B71" i="7"/>
  <c r="C64" i="7"/>
  <c r="C63" i="7"/>
  <c r="C62" i="7"/>
  <c r="C61" i="7"/>
  <c r="C60" i="7"/>
  <c r="C59" i="7"/>
  <c r="C58" i="7"/>
  <c r="C65" i="7" s="1"/>
  <c r="C56" i="7"/>
  <c r="C55" i="7"/>
  <c r="C54" i="7"/>
  <c r="C53" i="7"/>
  <c r="C52" i="7"/>
  <c r="C51" i="7"/>
  <c r="C50" i="7"/>
  <c r="C49" i="7"/>
  <c r="C46" i="7"/>
  <c r="C45" i="7"/>
  <c r="C44" i="7"/>
  <c r="C43" i="7"/>
  <c r="C42" i="7"/>
  <c r="C41" i="7"/>
  <c r="C40" i="7"/>
  <c r="C47" i="7" s="1"/>
  <c r="C37" i="7"/>
  <c r="C38" i="7" s="1"/>
  <c r="C36" i="7"/>
  <c r="C35" i="7"/>
  <c r="C34" i="7"/>
  <c r="C33" i="7"/>
  <c r="C32" i="7"/>
  <c r="C31" i="7"/>
  <c r="C28" i="7"/>
  <c r="C27" i="7"/>
  <c r="C26" i="7"/>
  <c r="C25" i="7"/>
  <c r="C24" i="7"/>
  <c r="C23" i="7"/>
  <c r="C22" i="7"/>
  <c r="C29" i="7" s="1"/>
  <c r="C14" i="7"/>
  <c r="C15" i="7"/>
  <c r="C16" i="7"/>
  <c r="C17" i="7"/>
  <c r="C18" i="7"/>
  <c r="C19" i="7"/>
  <c r="C13" i="7"/>
  <c r="E70" i="7"/>
  <c r="D70" i="7"/>
  <c r="C70" i="7"/>
  <c r="B70" i="7"/>
  <c r="E69" i="7"/>
  <c r="D69" i="7"/>
  <c r="C69" i="7"/>
  <c r="B69" i="7"/>
  <c r="E68" i="7"/>
  <c r="D68" i="7"/>
  <c r="C68" i="7"/>
  <c r="B68" i="7"/>
  <c r="E67" i="7"/>
  <c r="D67" i="7"/>
  <c r="C67" i="7"/>
  <c r="B67" i="7"/>
  <c r="B71" i="9"/>
  <c r="B42" i="9"/>
  <c r="D208" i="6"/>
  <c r="C208" i="6"/>
  <c r="B208" i="6"/>
  <c r="A208" i="6"/>
  <c r="D207" i="6"/>
  <c r="C207" i="6"/>
  <c r="B207" i="6"/>
  <c r="A207" i="6"/>
  <c r="D206" i="6"/>
  <c r="C206" i="6"/>
  <c r="B206" i="6"/>
  <c r="A206" i="6"/>
  <c r="D205" i="6"/>
  <c r="C205" i="6"/>
  <c r="B205" i="6"/>
  <c r="A205" i="6"/>
  <c r="D204" i="6"/>
  <c r="C204" i="6"/>
  <c r="B204" i="6"/>
  <c r="A204" i="6"/>
  <c r="D203" i="6"/>
  <c r="C203" i="6"/>
  <c r="B203" i="6"/>
  <c r="A203" i="6"/>
  <c r="D202" i="6"/>
  <c r="C202" i="6"/>
  <c r="B202" i="6"/>
  <c r="A202" i="6"/>
  <c r="D199" i="6"/>
  <c r="C199" i="6"/>
  <c r="B199" i="6"/>
  <c r="A199" i="6"/>
  <c r="D198" i="6"/>
  <c r="C198" i="6"/>
  <c r="B198" i="6"/>
  <c r="A198" i="6"/>
  <c r="D197" i="6"/>
  <c r="C197" i="6"/>
  <c r="B197" i="6"/>
  <c r="A197" i="6"/>
  <c r="D196" i="6"/>
  <c r="C196" i="6"/>
  <c r="B196" i="6"/>
  <c r="A196" i="6"/>
  <c r="D195" i="6"/>
  <c r="C195" i="6"/>
  <c r="B195" i="6"/>
  <c r="A195" i="6"/>
  <c r="D194" i="6"/>
  <c r="C194" i="6"/>
  <c r="B194" i="6"/>
  <c r="A194" i="6"/>
  <c r="D193" i="6"/>
  <c r="C193" i="6"/>
  <c r="B193" i="6"/>
  <c r="A193" i="6"/>
  <c r="D190" i="6"/>
  <c r="C190" i="6"/>
  <c r="B190" i="6"/>
  <c r="A190" i="6"/>
  <c r="D189" i="6"/>
  <c r="C189" i="6"/>
  <c r="B189" i="6"/>
  <c r="A189" i="6"/>
  <c r="D188" i="6"/>
  <c r="C188" i="6"/>
  <c r="B188" i="6"/>
  <c r="A188" i="6"/>
  <c r="D187" i="6"/>
  <c r="C187" i="6"/>
  <c r="B187" i="6"/>
  <c r="A187" i="6"/>
  <c r="D186" i="6"/>
  <c r="C186" i="6"/>
  <c r="B186" i="6"/>
  <c r="A186" i="6"/>
  <c r="D185" i="6"/>
  <c r="C185" i="6"/>
  <c r="B185" i="6"/>
  <c r="A185" i="6"/>
  <c r="D184" i="6"/>
  <c r="C184" i="6"/>
  <c r="B184" i="6"/>
  <c r="A184" i="6"/>
  <c r="D181" i="6"/>
  <c r="C181" i="6"/>
  <c r="B181" i="6"/>
  <c r="A181" i="6"/>
  <c r="D180" i="6"/>
  <c r="C180" i="6"/>
  <c r="B180" i="6"/>
  <c r="A180" i="6"/>
  <c r="D179" i="6"/>
  <c r="C179" i="6"/>
  <c r="B179" i="6"/>
  <c r="A179" i="6"/>
  <c r="D178" i="6"/>
  <c r="E178" i="6" s="1"/>
  <c r="C178" i="6"/>
  <c r="B178" i="6"/>
  <c r="A178" i="6"/>
  <c r="D177" i="6"/>
  <c r="C177" i="6"/>
  <c r="B177" i="6"/>
  <c r="A177" i="6"/>
  <c r="D176" i="6"/>
  <c r="C176" i="6"/>
  <c r="B176" i="6"/>
  <c r="A176" i="6"/>
  <c r="D175" i="6"/>
  <c r="C175" i="6"/>
  <c r="B175" i="6"/>
  <c r="A175" i="6"/>
  <c r="D172" i="6"/>
  <c r="C172" i="6"/>
  <c r="B172" i="6"/>
  <c r="A172" i="6"/>
  <c r="D171" i="6"/>
  <c r="C171" i="6"/>
  <c r="B171" i="6"/>
  <c r="A171" i="6"/>
  <c r="D170" i="6"/>
  <c r="C170" i="6"/>
  <c r="B170" i="6"/>
  <c r="A170" i="6"/>
  <c r="D169" i="6"/>
  <c r="C169" i="6"/>
  <c r="B169" i="6"/>
  <c r="A169" i="6"/>
  <c r="D168" i="6"/>
  <c r="C168" i="6"/>
  <c r="B168" i="6"/>
  <c r="A168" i="6"/>
  <c r="D167" i="6"/>
  <c r="C167" i="6"/>
  <c r="B167" i="6"/>
  <c r="A167" i="6"/>
  <c r="D166" i="6"/>
  <c r="C166" i="6"/>
  <c r="B166" i="6"/>
  <c r="A166" i="6"/>
  <c r="D163" i="6"/>
  <c r="C163" i="6"/>
  <c r="B163" i="6"/>
  <c r="A163" i="6"/>
  <c r="D162" i="6"/>
  <c r="C162" i="6"/>
  <c r="B162" i="6"/>
  <c r="A162" i="6"/>
  <c r="D161" i="6"/>
  <c r="C161" i="6"/>
  <c r="B161" i="6"/>
  <c r="A161" i="6"/>
  <c r="D160" i="6"/>
  <c r="C160" i="6"/>
  <c r="B160" i="6"/>
  <c r="A160" i="6"/>
  <c r="D159" i="6"/>
  <c r="C159" i="6"/>
  <c r="B159" i="6"/>
  <c r="A159" i="6"/>
  <c r="D158" i="6"/>
  <c r="C158" i="6"/>
  <c r="B158" i="6"/>
  <c r="A158" i="6"/>
  <c r="D157" i="6"/>
  <c r="C157" i="6"/>
  <c r="B157" i="6"/>
  <c r="A157" i="6"/>
  <c r="C154" i="6"/>
  <c r="B154" i="6"/>
  <c r="D153" i="6"/>
  <c r="C153" i="6"/>
  <c r="D152" i="6"/>
  <c r="C152" i="6"/>
  <c r="B152" i="6"/>
  <c r="D151" i="6"/>
  <c r="B151" i="6"/>
  <c r="D150" i="6"/>
  <c r="C150" i="6"/>
  <c r="B150" i="6"/>
  <c r="D149" i="6"/>
  <c r="B149" i="6"/>
  <c r="D148" i="6"/>
  <c r="C148" i="6"/>
  <c r="B148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E131" i="6" s="1"/>
  <c r="D130" i="6"/>
  <c r="C130" i="6"/>
  <c r="D127" i="6"/>
  <c r="C127" i="6"/>
  <c r="D126" i="6"/>
  <c r="C126" i="6"/>
  <c r="D125" i="6"/>
  <c r="C125" i="6"/>
  <c r="E125" i="6" s="1"/>
  <c r="D124" i="6"/>
  <c r="C124" i="6"/>
  <c r="D123" i="6"/>
  <c r="C123" i="6"/>
  <c r="D122" i="6"/>
  <c r="C122" i="6"/>
  <c r="D121" i="6"/>
  <c r="C121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09" i="6"/>
  <c r="C109" i="6"/>
  <c r="E109" i="6" s="1"/>
  <c r="D108" i="6"/>
  <c r="C108" i="6"/>
  <c r="D107" i="6"/>
  <c r="C107" i="6"/>
  <c r="D106" i="6"/>
  <c r="C106" i="6"/>
  <c r="D105" i="6"/>
  <c r="C105" i="6"/>
  <c r="E105" i="6" s="1"/>
  <c r="D104" i="6"/>
  <c r="C104" i="6"/>
  <c r="D103" i="6"/>
  <c r="C103" i="6"/>
  <c r="D100" i="6"/>
  <c r="C100" i="6"/>
  <c r="D99" i="6"/>
  <c r="C99" i="6"/>
  <c r="E99" i="6" s="1"/>
  <c r="D98" i="6"/>
  <c r="C98" i="6"/>
  <c r="D97" i="6"/>
  <c r="C97" i="6"/>
  <c r="D96" i="6"/>
  <c r="C96" i="6"/>
  <c r="D95" i="6"/>
  <c r="C95" i="6"/>
  <c r="D94" i="6"/>
  <c r="C94" i="6"/>
  <c r="D91" i="6"/>
  <c r="C91" i="6"/>
  <c r="B91" i="6"/>
  <c r="D90" i="6"/>
  <c r="C90" i="6"/>
  <c r="B90" i="6"/>
  <c r="D89" i="6"/>
  <c r="C89" i="6"/>
  <c r="B89" i="6"/>
  <c r="D88" i="6"/>
  <c r="C88" i="6"/>
  <c r="B88" i="6"/>
  <c r="D87" i="6"/>
  <c r="C87" i="6"/>
  <c r="E87" i="6" s="1"/>
  <c r="B87" i="6"/>
  <c r="D86" i="6"/>
  <c r="C86" i="6"/>
  <c r="B86" i="6"/>
  <c r="D85" i="6"/>
  <c r="C85" i="6"/>
  <c r="B85" i="6"/>
  <c r="A85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64" i="6"/>
  <c r="D64" i="9" s="1"/>
  <c r="C64" i="6"/>
  <c r="E64" i="6" s="1"/>
  <c r="D63" i="6"/>
  <c r="D55" i="9" s="1"/>
  <c r="C63" i="6"/>
  <c r="D62" i="6"/>
  <c r="D46" i="9" s="1"/>
  <c r="C62" i="6"/>
  <c r="D61" i="6"/>
  <c r="D37" i="9" s="1"/>
  <c r="C61" i="6"/>
  <c r="C37" i="9" s="1"/>
  <c r="D60" i="6"/>
  <c r="D28" i="9" s="1"/>
  <c r="C60" i="6"/>
  <c r="D59" i="6"/>
  <c r="D19" i="9" s="1"/>
  <c r="C59" i="6"/>
  <c r="D58" i="6"/>
  <c r="C58" i="6"/>
  <c r="D55" i="6"/>
  <c r="D63" i="9" s="1"/>
  <c r="C55" i="6"/>
  <c r="D54" i="6"/>
  <c r="D54" i="9" s="1"/>
  <c r="C54" i="6"/>
  <c r="D53" i="6"/>
  <c r="D45" i="9" s="1"/>
  <c r="C53" i="6"/>
  <c r="D52" i="6"/>
  <c r="D36" i="9" s="1"/>
  <c r="C52" i="6"/>
  <c r="C36" i="9" s="1"/>
  <c r="D51" i="6"/>
  <c r="C51" i="6"/>
  <c r="C27" i="9" s="1"/>
  <c r="D50" i="6"/>
  <c r="D18" i="9" s="1"/>
  <c r="C50" i="6"/>
  <c r="D49" i="6"/>
  <c r="C49" i="6"/>
  <c r="D46" i="6"/>
  <c r="D62" i="9" s="1"/>
  <c r="C46" i="6"/>
  <c r="C62" i="9" s="1"/>
  <c r="D45" i="6"/>
  <c r="D53" i="9" s="1"/>
  <c r="C45" i="6"/>
  <c r="D44" i="6"/>
  <c r="D44" i="9" s="1"/>
  <c r="C44" i="6"/>
  <c r="D43" i="6"/>
  <c r="C43" i="6"/>
  <c r="C35" i="9" s="1"/>
  <c r="D42" i="6"/>
  <c r="D26" i="9" s="1"/>
  <c r="C42" i="6"/>
  <c r="C26" i="9" s="1"/>
  <c r="D41" i="6"/>
  <c r="D17" i="9" s="1"/>
  <c r="C41" i="6"/>
  <c r="D40" i="6"/>
  <c r="C40" i="6"/>
  <c r="D37" i="6"/>
  <c r="D61" i="9" s="1"/>
  <c r="C37" i="6"/>
  <c r="D36" i="6"/>
  <c r="C36" i="6"/>
  <c r="C52" i="9" s="1"/>
  <c r="D35" i="6"/>
  <c r="D43" i="9" s="1"/>
  <c r="C35" i="6"/>
  <c r="C43" i="9" s="1"/>
  <c r="D34" i="6"/>
  <c r="D34" i="9" s="1"/>
  <c r="C34" i="6"/>
  <c r="C34" i="9" s="1"/>
  <c r="D33" i="6"/>
  <c r="D25" i="9" s="1"/>
  <c r="C33" i="6"/>
  <c r="C25" i="9" s="1"/>
  <c r="D32" i="6"/>
  <c r="D16" i="9" s="1"/>
  <c r="C32" i="6"/>
  <c r="D31" i="6"/>
  <c r="C31" i="6"/>
  <c r="D28" i="6"/>
  <c r="D60" i="9" s="1"/>
  <c r="C28" i="6"/>
  <c r="E28" i="6" s="1"/>
  <c r="D27" i="6"/>
  <c r="D51" i="9" s="1"/>
  <c r="C27" i="6"/>
  <c r="C51" i="9" s="1"/>
  <c r="D26" i="6"/>
  <c r="D42" i="9" s="1"/>
  <c r="C26" i="6"/>
  <c r="D25" i="6"/>
  <c r="C25" i="6"/>
  <c r="D24" i="6"/>
  <c r="D24" i="9" s="1"/>
  <c r="C24" i="6"/>
  <c r="C24" i="9" s="1"/>
  <c r="E24" i="9" s="1"/>
  <c r="D23" i="6"/>
  <c r="D15" i="9" s="1"/>
  <c r="C23" i="6"/>
  <c r="D22" i="6"/>
  <c r="D6" i="9" s="1"/>
  <c r="C22" i="6"/>
  <c r="D19" i="6"/>
  <c r="D59" i="9" s="1"/>
  <c r="C19" i="6"/>
  <c r="C59" i="9" s="1"/>
  <c r="D18" i="6"/>
  <c r="D50" i="9" s="1"/>
  <c r="C18" i="6"/>
  <c r="C50" i="9" s="1"/>
  <c r="E50" i="9" s="1"/>
  <c r="D17" i="6"/>
  <c r="D41" i="9" s="1"/>
  <c r="C17" i="6"/>
  <c r="D16" i="6"/>
  <c r="D32" i="9" s="1"/>
  <c r="C16" i="6"/>
  <c r="C32" i="9" s="1"/>
  <c r="D15" i="6"/>
  <c r="D23" i="9" s="1"/>
  <c r="C15" i="6"/>
  <c r="C23" i="9" s="1"/>
  <c r="D14" i="6"/>
  <c r="D14" i="9" s="1"/>
  <c r="C14" i="6"/>
  <c r="E14" i="6" s="1"/>
  <c r="D13" i="6"/>
  <c r="C13" i="6"/>
  <c r="D9" i="6"/>
  <c r="D49" i="9" s="1"/>
  <c r="D10" i="6"/>
  <c r="D58" i="9" s="1"/>
  <c r="D4" i="6"/>
  <c r="D4" i="9" s="1"/>
  <c r="D5" i="6"/>
  <c r="D13" i="9" s="1"/>
  <c r="D6" i="6"/>
  <c r="D22" i="9" s="1"/>
  <c r="D7" i="6"/>
  <c r="D31" i="9" s="1"/>
  <c r="D8" i="6"/>
  <c r="D40" i="9" s="1"/>
  <c r="C4" i="6"/>
  <c r="C4" i="9" s="1"/>
  <c r="C5" i="6"/>
  <c r="C6" i="6"/>
  <c r="C22" i="9" s="1"/>
  <c r="C7" i="6"/>
  <c r="C31" i="9" s="1"/>
  <c r="C8" i="6"/>
  <c r="C40" i="9" s="1"/>
  <c r="C9" i="6"/>
  <c r="C49" i="9" s="1"/>
  <c r="C10" i="6"/>
  <c r="C58" i="9" s="1"/>
  <c r="A4" i="6"/>
  <c r="E26" i="6" l="1"/>
  <c r="E32" i="6"/>
  <c r="C144" i="6"/>
  <c r="E144" i="6" s="1"/>
  <c r="E97" i="6"/>
  <c r="E107" i="6"/>
  <c r="E113" i="6"/>
  <c r="E23" i="9"/>
  <c r="D144" i="6"/>
  <c r="C145" i="6"/>
  <c r="D145" i="6"/>
  <c r="E58" i="9"/>
  <c r="C142" i="6"/>
  <c r="E142" i="6" s="1"/>
  <c r="C140" i="6"/>
  <c r="E140" i="6" s="1"/>
  <c r="E189" i="6"/>
  <c r="E197" i="6"/>
  <c r="C141" i="6"/>
  <c r="D141" i="6"/>
  <c r="D142" i="6"/>
  <c r="D140" i="6"/>
  <c r="C139" i="6"/>
  <c r="C143" i="6"/>
  <c r="D139" i="6"/>
  <c r="D143" i="6"/>
  <c r="E198" i="6"/>
  <c r="E158" i="6"/>
  <c r="E160" i="6"/>
  <c r="C67" i="6"/>
  <c r="D209" i="6"/>
  <c r="C72" i="6"/>
  <c r="C68" i="6"/>
  <c r="E157" i="6"/>
  <c r="E171" i="6"/>
  <c r="E177" i="6"/>
  <c r="E199" i="6"/>
  <c r="E203" i="6"/>
  <c r="E205" i="6"/>
  <c r="E207" i="6"/>
  <c r="C70" i="6"/>
  <c r="E163" i="6"/>
  <c r="C73" i="6"/>
  <c r="D29" i="6"/>
  <c r="E51" i="6"/>
  <c r="E96" i="6"/>
  <c r="E100" i="6"/>
  <c r="E106" i="6"/>
  <c r="E112" i="6"/>
  <c r="E122" i="6"/>
  <c r="E136" i="6"/>
  <c r="D67" i="6"/>
  <c r="D73" i="6"/>
  <c r="D69" i="6"/>
  <c r="D68" i="6"/>
  <c r="C71" i="6"/>
  <c r="E208" i="6"/>
  <c r="D164" i="6"/>
  <c r="D70" i="6"/>
  <c r="D71" i="6"/>
  <c r="D72" i="6"/>
  <c r="C29" i="6"/>
  <c r="E17" i="6"/>
  <c r="E23" i="6"/>
  <c r="E51" i="9"/>
  <c r="E25" i="9"/>
  <c r="E37" i="6"/>
  <c r="E53" i="6"/>
  <c r="E59" i="6"/>
  <c r="E63" i="6"/>
  <c r="E78" i="6"/>
  <c r="E89" i="6"/>
  <c r="E118" i="6"/>
  <c r="E172" i="6"/>
  <c r="C69" i="6"/>
  <c r="C110" i="6"/>
  <c r="D20" i="6"/>
  <c r="E16" i="6"/>
  <c r="E36" i="6"/>
  <c r="E62" i="9"/>
  <c r="D110" i="6"/>
  <c r="E179" i="6"/>
  <c r="E181" i="6"/>
  <c r="E168" i="6"/>
  <c r="C47" i="6"/>
  <c r="E44" i="6"/>
  <c r="E50" i="6"/>
  <c r="E60" i="6"/>
  <c r="E115" i="6"/>
  <c r="E121" i="6"/>
  <c r="E134" i="6"/>
  <c r="E43" i="6"/>
  <c r="E95" i="6"/>
  <c r="E184" i="6"/>
  <c r="E186" i="6"/>
  <c r="E190" i="6"/>
  <c r="D56" i="6"/>
  <c r="C137" i="6"/>
  <c r="E5" i="6"/>
  <c r="E15" i="6"/>
  <c r="E43" i="9"/>
  <c r="E80" i="6"/>
  <c r="E85" i="6"/>
  <c r="E135" i="6"/>
  <c r="E167" i="6"/>
  <c r="E151" i="6"/>
  <c r="E8" i="6"/>
  <c r="E32" i="9"/>
  <c r="E204" i="6"/>
  <c r="E152" i="6"/>
  <c r="E86" i="6"/>
  <c r="E34" i="9"/>
  <c r="E59" i="9"/>
  <c r="E22" i="9"/>
  <c r="D65" i="9"/>
  <c r="D73" i="9" s="1"/>
  <c r="E40" i="9"/>
  <c r="E36" i="9"/>
  <c r="C65" i="6"/>
  <c r="D83" i="6"/>
  <c r="C200" i="6"/>
  <c r="C20" i="6"/>
  <c r="E19" i="6"/>
  <c r="E25" i="6"/>
  <c r="E33" i="6"/>
  <c r="C56" i="6"/>
  <c r="E52" i="6"/>
  <c r="D65" i="6"/>
  <c r="E62" i="6"/>
  <c r="E77" i="6"/>
  <c r="D92" i="6"/>
  <c r="E91" i="6"/>
  <c r="E116" i="6"/>
  <c r="E124" i="6"/>
  <c r="E149" i="6"/>
  <c r="E154" i="6"/>
  <c r="E169" i="6"/>
  <c r="E180" i="6"/>
  <c r="E195" i="6"/>
  <c r="E206" i="6"/>
  <c r="C15" i="9"/>
  <c r="E15" i="9" s="1"/>
  <c r="C28" i="9"/>
  <c r="E28" i="9" s="1"/>
  <c r="D27" i="9"/>
  <c r="E27" i="9" s="1"/>
  <c r="C44" i="9"/>
  <c r="E44" i="9" s="1"/>
  <c r="C14" i="9"/>
  <c r="E14" i="9" s="1"/>
  <c r="D10" i="9"/>
  <c r="C61" i="9"/>
  <c r="C13" i="9"/>
  <c r="E13" i="9" s="1"/>
  <c r="C10" i="9"/>
  <c r="D9" i="9"/>
  <c r="D35" i="9"/>
  <c r="E35" i="9" s="1"/>
  <c r="C42" i="9"/>
  <c r="E42" i="9" s="1"/>
  <c r="C60" i="9"/>
  <c r="E60" i="9" s="1"/>
  <c r="D47" i="6"/>
  <c r="C155" i="6"/>
  <c r="D38" i="6"/>
  <c r="E35" i="6"/>
  <c r="E40" i="6"/>
  <c r="E54" i="6"/>
  <c r="E82" i="6"/>
  <c r="E88" i="6"/>
  <c r="E117" i="6"/>
  <c r="D137" i="6"/>
  <c r="E162" i="6"/>
  <c r="C173" i="6"/>
  <c r="E170" i="6"/>
  <c r="D182" i="6"/>
  <c r="D191" i="6"/>
  <c r="E188" i="6"/>
  <c r="E196" i="6"/>
  <c r="C9" i="9"/>
  <c r="D8" i="9"/>
  <c r="C41" i="9"/>
  <c r="E41" i="9" s="1"/>
  <c r="E126" i="6"/>
  <c r="E41" i="6"/>
  <c r="E45" i="6"/>
  <c r="C101" i="6"/>
  <c r="C128" i="6"/>
  <c r="D200" i="6"/>
  <c r="C19" i="9"/>
  <c r="E19" i="9" s="1"/>
  <c r="C8" i="9"/>
  <c r="D7" i="9"/>
  <c r="C33" i="9"/>
  <c r="D33" i="9"/>
  <c r="C55" i="9"/>
  <c r="E55" i="9" s="1"/>
  <c r="C38" i="6"/>
  <c r="E81" i="6"/>
  <c r="C182" i="6"/>
  <c r="E6" i="6"/>
  <c r="E18" i="6"/>
  <c r="E27" i="6"/>
  <c r="E55" i="6"/>
  <c r="E79" i="6"/>
  <c r="E90" i="6"/>
  <c r="D101" i="6"/>
  <c r="E98" i="6"/>
  <c r="E104" i="6"/>
  <c r="E108" i="6"/>
  <c r="D128" i="6"/>
  <c r="E127" i="6"/>
  <c r="E148" i="6"/>
  <c r="E153" i="6"/>
  <c r="C18" i="9"/>
  <c r="E18" i="9" s="1"/>
  <c r="C7" i="9"/>
  <c r="C54" i="9"/>
  <c r="E54" i="9" s="1"/>
  <c r="E7" i="6"/>
  <c r="E24" i="6"/>
  <c r="E46" i="6"/>
  <c r="E61" i="6"/>
  <c r="C83" i="6"/>
  <c r="C119" i="6"/>
  <c r="E133" i="6"/>
  <c r="C164" i="6"/>
  <c r="E161" i="6"/>
  <c r="E176" i="6"/>
  <c r="C191" i="6"/>
  <c r="E187" i="6"/>
  <c r="C209" i="6"/>
  <c r="C17" i="9"/>
  <c r="E17" i="9" s="1"/>
  <c r="C6" i="9"/>
  <c r="E6" i="9" s="1"/>
  <c r="D5" i="9"/>
  <c r="C46" i="9"/>
  <c r="E46" i="9" s="1"/>
  <c r="C53" i="9"/>
  <c r="E53" i="9" s="1"/>
  <c r="C64" i="9"/>
  <c r="E64" i="9" s="1"/>
  <c r="C16" i="9"/>
  <c r="E16" i="9" s="1"/>
  <c r="C5" i="9"/>
  <c r="C45" i="9"/>
  <c r="E45" i="9" s="1"/>
  <c r="D52" i="9"/>
  <c r="E52" i="9" s="1"/>
  <c r="C63" i="9"/>
  <c r="E63" i="9" s="1"/>
  <c r="D47" i="9"/>
  <c r="D71" i="9" s="1"/>
  <c r="B43" i="9"/>
  <c r="B45" i="9" s="1"/>
  <c r="B44" i="9"/>
  <c r="B46" i="9"/>
  <c r="B41" i="9"/>
  <c r="E49" i="9"/>
  <c r="E26" i="9"/>
  <c r="E31" i="9"/>
  <c r="E4" i="9"/>
  <c r="E37" i="9"/>
  <c r="E175" i="6"/>
  <c r="E166" i="6"/>
  <c r="D173" i="6"/>
  <c r="D155" i="6"/>
  <c r="E159" i="6"/>
  <c r="E185" i="6"/>
  <c r="E194" i="6"/>
  <c r="E150" i="6"/>
  <c r="E202" i="6"/>
  <c r="E193" i="6"/>
  <c r="E103" i="6"/>
  <c r="D119" i="6"/>
  <c r="E123" i="6"/>
  <c r="E94" i="6"/>
  <c r="E114" i="6"/>
  <c r="E132" i="6"/>
  <c r="C92" i="6"/>
  <c r="E130" i="6"/>
  <c r="E76" i="6"/>
  <c r="E58" i="6"/>
  <c r="E49" i="6"/>
  <c r="E42" i="6"/>
  <c r="E34" i="6"/>
  <c r="E31" i="6"/>
  <c r="E22" i="6"/>
  <c r="E13" i="6"/>
  <c r="E139" i="6" l="1"/>
  <c r="E69" i="6"/>
  <c r="E72" i="6"/>
  <c r="C146" i="6"/>
  <c r="E143" i="6"/>
  <c r="E209" i="6"/>
  <c r="E68" i="6"/>
  <c r="E8" i="9"/>
  <c r="D146" i="6"/>
  <c r="E141" i="6"/>
  <c r="E145" i="6"/>
  <c r="E73" i="6"/>
  <c r="C29" i="9"/>
  <c r="C69" i="9" s="1"/>
  <c r="E9" i="9"/>
  <c r="C65" i="9"/>
  <c r="C73" i="9" s="1"/>
  <c r="E7" i="9"/>
  <c r="E10" i="9"/>
  <c r="E33" i="9"/>
  <c r="E38" i="9" s="1"/>
  <c r="E70" i="9" s="1"/>
  <c r="E70" i="6"/>
  <c r="E71" i="6"/>
  <c r="D74" i="6"/>
  <c r="E101" i="6"/>
  <c r="E67" i="6"/>
  <c r="D56" i="9"/>
  <c r="D72" i="9" s="1"/>
  <c r="C74" i="6"/>
  <c r="E182" i="6"/>
  <c r="D38" i="9"/>
  <c r="D70" i="9" s="1"/>
  <c r="E137" i="6"/>
  <c r="E119" i="6"/>
  <c r="E92" i="6"/>
  <c r="E47" i="6"/>
  <c r="E191" i="6"/>
  <c r="E61" i="9"/>
  <c r="E65" i="9" s="1"/>
  <c r="E73" i="9" s="1"/>
  <c r="E128" i="6"/>
  <c r="E47" i="9"/>
  <c r="E71" i="9" s="1"/>
  <c r="E65" i="6"/>
  <c r="E155" i="6"/>
  <c r="E29" i="9"/>
  <c r="E69" i="9" s="1"/>
  <c r="E20" i="9"/>
  <c r="E68" i="9" s="1"/>
  <c r="C56" i="9"/>
  <c r="C72" i="9" s="1"/>
  <c r="C47" i="9"/>
  <c r="C71" i="9" s="1"/>
  <c r="E83" i="6"/>
  <c r="E110" i="6"/>
  <c r="E164" i="6"/>
  <c r="C38" i="9"/>
  <c r="C70" i="9" s="1"/>
  <c r="E56" i="9"/>
  <c r="E72" i="9" s="1"/>
  <c r="E56" i="6"/>
  <c r="E20" i="6"/>
  <c r="E29" i="6"/>
  <c r="E5" i="9"/>
  <c r="E38" i="6"/>
  <c r="E200" i="6"/>
  <c r="E173" i="6"/>
  <c r="D29" i="9"/>
  <c r="D69" i="9" s="1"/>
  <c r="A4" i="9"/>
  <c r="E146" i="6" l="1"/>
  <c r="E74" i="6"/>
  <c r="G74" i="6" s="1"/>
  <c r="C20" i="9"/>
  <c r="C68" i="9" s="1"/>
  <c r="D20" i="9"/>
  <c r="D68" i="9" s="1"/>
  <c r="D11" i="9"/>
  <c r="D67" i="9" s="1"/>
  <c r="D74" i="9" s="1"/>
  <c r="C11" i="9"/>
  <c r="C67" i="9" s="1"/>
  <c r="C74" i="9" s="1"/>
  <c r="A83" i="7"/>
  <c r="A83" i="6" s="1"/>
  <c r="A155" i="6" s="1"/>
  <c r="A20" i="6"/>
  <c r="A92" i="6" s="1"/>
  <c r="A164" i="6" s="1"/>
  <c r="A11" i="6"/>
  <c r="B11" i="6"/>
  <c r="B77" i="6"/>
  <c r="A65" i="6"/>
  <c r="A137" i="6" s="1"/>
  <c r="A209" i="6" s="1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A10" i="9" s="1"/>
  <c r="A19" i="9" s="1"/>
  <c r="A28" i="9" s="1"/>
  <c r="A37" i="9" s="1"/>
  <c r="A46" i="9" s="1"/>
  <c r="A55" i="9" s="1"/>
  <c r="A64" i="9" s="1"/>
  <c r="A56" i="6"/>
  <c r="A128" i="6" s="1"/>
  <c r="A200" i="6" s="1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A9" i="9" s="1"/>
  <c r="A18" i="9" s="1"/>
  <c r="A27" i="9" s="1"/>
  <c r="A36" i="9" s="1"/>
  <c r="A45" i="9" s="1"/>
  <c r="A54" i="9" s="1"/>
  <c r="A63" i="9" s="1"/>
  <c r="A47" i="6"/>
  <c r="A119" i="6" s="1"/>
  <c r="A191" i="6" s="1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A8" i="9" s="1"/>
  <c r="A17" i="9" s="1"/>
  <c r="A26" i="9" s="1"/>
  <c r="A35" i="9" s="1"/>
  <c r="A44" i="9" s="1"/>
  <c r="A53" i="9" s="1"/>
  <c r="A62" i="9" s="1"/>
  <c r="A38" i="6"/>
  <c r="A110" i="6" s="1"/>
  <c r="A182" i="6" s="1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A7" i="9" s="1"/>
  <c r="A16" i="9" s="1"/>
  <c r="A25" i="9" s="1"/>
  <c r="A34" i="9" s="1"/>
  <c r="A43" i="9" s="1"/>
  <c r="A52" i="9" s="1"/>
  <c r="A61" i="9" s="1"/>
  <c r="A29" i="6"/>
  <c r="A101" i="6" s="1"/>
  <c r="A173" i="6" s="1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B6" i="9" s="1"/>
  <c r="A22" i="6"/>
  <c r="A6" i="9" s="1"/>
  <c r="A15" i="9" s="1"/>
  <c r="A24" i="9" s="1"/>
  <c r="A33" i="9" s="1"/>
  <c r="A42" i="9" s="1"/>
  <c r="A51" i="9" s="1"/>
  <c r="A60" i="9" s="1"/>
  <c r="B19" i="6"/>
  <c r="A19" i="6"/>
  <c r="B18" i="6"/>
  <c r="A18" i="6"/>
  <c r="B17" i="6"/>
  <c r="A17" i="6"/>
  <c r="B16" i="6"/>
  <c r="A16" i="6"/>
  <c r="B15" i="6"/>
  <c r="A15" i="6"/>
  <c r="B14" i="6"/>
  <c r="B14" i="9" s="1"/>
  <c r="A14" i="6"/>
  <c r="A14" i="9" s="1"/>
  <c r="A23" i="9" s="1"/>
  <c r="A32" i="9" s="1"/>
  <c r="A41" i="9" s="1"/>
  <c r="A50" i="9" s="1"/>
  <c r="A59" i="9" s="1"/>
  <c r="B13" i="6"/>
  <c r="B5" i="9" s="1"/>
  <c r="A13" i="6"/>
  <c r="A5" i="9" s="1"/>
  <c r="B10" i="6"/>
  <c r="A10" i="6"/>
  <c r="B9" i="6"/>
  <c r="A9" i="6"/>
  <c r="B8" i="6"/>
  <c r="B71" i="6" s="1"/>
  <c r="A8" i="6"/>
  <c r="B7" i="6"/>
  <c r="A7" i="6"/>
  <c r="B6" i="6"/>
  <c r="A6" i="6"/>
  <c r="B5" i="6"/>
  <c r="A5" i="6"/>
  <c r="A13" i="9" s="1"/>
  <c r="A22" i="9" s="1"/>
  <c r="A31" i="9" s="1"/>
  <c r="A40" i="9" s="1"/>
  <c r="A49" i="9" s="1"/>
  <c r="A58" i="9" s="1"/>
  <c r="B4" i="6"/>
  <c r="E137" i="7"/>
  <c r="D137" i="7"/>
  <c r="E128" i="7"/>
  <c r="D128" i="7"/>
  <c r="E119" i="7"/>
  <c r="D119" i="7"/>
  <c r="E110" i="7"/>
  <c r="D110" i="7"/>
  <c r="E101" i="7"/>
  <c r="D101" i="7"/>
  <c r="B99" i="7"/>
  <c r="B99" i="6" s="1"/>
  <c r="B94" i="7"/>
  <c r="B94" i="6" s="1"/>
  <c r="E92" i="7"/>
  <c r="D92" i="7"/>
  <c r="B90" i="7"/>
  <c r="B88" i="7"/>
  <c r="B97" i="7" s="1"/>
  <c r="B97" i="6" s="1"/>
  <c r="B86" i="7"/>
  <c r="B85" i="7"/>
  <c r="A77" i="7"/>
  <c r="A86" i="7" s="1"/>
  <c r="A86" i="6" s="1"/>
  <c r="B77" i="7"/>
  <c r="A78" i="7"/>
  <c r="A78" i="6" s="1"/>
  <c r="B78" i="7"/>
  <c r="B78" i="6" s="1"/>
  <c r="A79" i="7"/>
  <c r="A79" i="6" s="1"/>
  <c r="B79" i="7"/>
  <c r="B79" i="6" s="1"/>
  <c r="A80" i="7"/>
  <c r="A80" i="6" s="1"/>
  <c r="B80" i="7"/>
  <c r="B80" i="6" s="1"/>
  <c r="A81" i="7"/>
  <c r="A81" i="6" s="1"/>
  <c r="B81" i="7"/>
  <c r="B81" i="6" s="1"/>
  <c r="A82" i="7"/>
  <c r="A82" i="6" s="1"/>
  <c r="B82" i="7"/>
  <c r="B82" i="6" s="1"/>
  <c r="B76" i="7"/>
  <c r="B76" i="6" s="1"/>
  <c r="B19" i="9" s="1"/>
  <c r="A76" i="7"/>
  <c r="A85" i="7" s="1"/>
  <c r="E83" i="7"/>
  <c r="D83" i="7"/>
  <c r="E65" i="7"/>
  <c r="D65" i="7"/>
  <c r="E56" i="7"/>
  <c r="D56" i="7"/>
  <c r="E47" i="7"/>
  <c r="D47" i="7"/>
  <c r="E38" i="7"/>
  <c r="D38" i="7"/>
  <c r="E29" i="7"/>
  <c r="D29" i="7"/>
  <c r="E20" i="7"/>
  <c r="D20" i="7"/>
  <c r="C20" i="7"/>
  <c r="D11" i="7"/>
  <c r="E11" i="7"/>
  <c r="C11" i="7"/>
  <c r="B49" i="9" l="1"/>
  <c r="B72" i="6"/>
  <c r="B4" i="9"/>
  <c r="B67" i="9" s="1"/>
  <c r="B67" i="6"/>
  <c r="B22" i="9"/>
  <c r="B69" i="9" s="1"/>
  <c r="B69" i="6"/>
  <c r="B58" i="9"/>
  <c r="B73" i="9" s="1"/>
  <c r="B73" i="6"/>
  <c r="B13" i="9"/>
  <c r="B68" i="9" s="1"/>
  <c r="B68" i="6"/>
  <c r="B31" i="9"/>
  <c r="B70" i="6"/>
  <c r="B7" i="9"/>
  <c r="B15" i="9"/>
  <c r="B8" i="9"/>
  <c r="B16" i="9"/>
  <c r="A88" i="7"/>
  <c r="A88" i="6" s="1"/>
  <c r="B33" i="9"/>
  <c r="B70" i="9"/>
  <c r="B32" i="9"/>
  <c r="B37" i="9"/>
  <c r="A77" i="6"/>
  <c r="B50" i="9"/>
  <c r="B51" i="9"/>
  <c r="B72" i="9"/>
  <c r="B55" i="9"/>
  <c r="B18" i="9"/>
  <c r="B10" i="9"/>
  <c r="B28" i="9"/>
  <c r="B23" i="9"/>
  <c r="A90" i="7"/>
  <c r="B17" i="9"/>
  <c r="B9" i="9"/>
  <c r="A94" i="7"/>
  <c r="A94" i="6" s="1"/>
  <c r="B106" i="7"/>
  <c r="B106" i="6" s="1"/>
  <c r="A91" i="7"/>
  <c r="A91" i="6" s="1"/>
  <c r="A97" i="7"/>
  <c r="A97" i="6" s="1"/>
  <c r="B103" i="7"/>
  <c r="B103" i="6" s="1"/>
  <c r="A95" i="7"/>
  <c r="A95" i="6" s="1"/>
  <c r="A89" i="7"/>
  <c r="A89" i="6" s="1"/>
  <c r="B95" i="7"/>
  <c r="B95" i="6" s="1"/>
  <c r="B108" i="7"/>
  <c r="B108" i="6" s="1"/>
  <c r="A87" i="7"/>
  <c r="A87" i="6" s="1"/>
  <c r="B89" i="7"/>
  <c r="A76" i="6"/>
  <c r="E9" i="6"/>
  <c r="B91" i="7"/>
  <c r="B87" i="7"/>
  <c r="E10" i="6"/>
  <c r="E4" i="6"/>
  <c r="E11" i="9" s="1"/>
  <c r="E67" i="9" s="1"/>
  <c r="E74" i="9" s="1"/>
  <c r="D11" i="6"/>
  <c r="C11" i="6"/>
  <c r="F64" i="7"/>
  <c r="C82" i="7" s="1"/>
  <c r="F82" i="7" s="1"/>
  <c r="C91" i="7" s="1"/>
  <c r="F91" i="7" s="1"/>
  <c r="C100" i="7" s="1"/>
  <c r="F100" i="7" s="1"/>
  <c r="C109" i="7" s="1"/>
  <c r="F109" i="7" s="1"/>
  <c r="C118" i="7" s="1"/>
  <c r="F118" i="7" s="1"/>
  <c r="C127" i="7" s="1"/>
  <c r="F127" i="7" s="1"/>
  <c r="C136" i="7" s="1"/>
  <c r="F136" i="7" s="1"/>
  <c r="F63" i="7"/>
  <c r="C81" i="7" s="1"/>
  <c r="F81" i="7" s="1"/>
  <c r="C90" i="7" s="1"/>
  <c r="F90" i="7" s="1"/>
  <c r="C99" i="7" s="1"/>
  <c r="F99" i="7" s="1"/>
  <c r="C108" i="7" s="1"/>
  <c r="F108" i="7" s="1"/>
  <c r="C117" i="7" s="1"/>
  <c r="F117" i="7" s="1"/>
  <c r="C126" i="7" s="1"/>
  <c r="F126" i="7" s="1"/>
  <c r="C135" i="7" s="1"/>
  <c r="F135" i="7" s="1"/>
  <c r="F62" i="7"/>
  <c r="C80" i="7" s="1"/>
  <c r="F80" i="7" s="1"/>
  <c r="C89" i="7" s="1"/>
  <c r="F89" i="7" s="1"/>
  <c r="C98" i="7" s="1"/>
  <c r="F98" i="7" s="1"/>
  <c r="C107" i="7" s="1"/>
  <c r="F107" i="7" s="1"/>
  <c r="C116" i="7" s="1"/>
  <c r="F116" i="7" s="1"/>
  <c r="C125" i="7" s="1"/>
  <c r="F125" i="7" s="1"/>
  <c r="C134" i="7" s="1"/>
  <c r="F134" i="7" s="1"/>
  <c r="F60" i="7"/>
  <c r="F59" i="7"/>
  <c r="F58" i="7"/>
  <c r="F55" i="7"/>
  <c r="F54" i="7"/>
  <c r="F53" i="7"/>
  <c r="F51" i="7"/>
  <c r="F50" i="7"/>
  <c r="F49" i="7"/>
  <c r="F46" i="7"/>
  <c r="F45" i="7"/>
  <c r="F44" i="7"/>
  <c r="F42" i="7"/>
  <c r="F41" i="7"/>
  <c r="F40" i="7"/>
  <c r="F37" i="7"/>
  <c r="F36" i="7"/>
  <c r="F35" i="7"/>
  <c r="F34" i="7"/>
  <c r="F33" i="7"/>
  <c r="F32" i="7"/>
  <c r="F31" i="7"/>
  <c r="F28" i="7"/>
  <c r="F27" i="7"/>
  <c r="F26" i="7"/>
  <c r="F25" i="7"/>
  <c r="F24" i="7"/>
  <c r="F23" i="7"/>
  <c r="F22" i="7"/>
  <c r="F19" i="7"/>
  <c r="F18" i="7"/>
  <c r="F17" i="7"/>
  <c r="F16" i="7"/>
  <c r="F15" i="7"/>
  <c r="F14" i="7"/>
  <c r="F13" i="7"/>
  <c r="F10" i="7"/>
  <c r="F9" i="7"/>
  <c r="F8" i="7"/>
  <c r="F7" i="7"/>
  <c r="F6" i="7"/>
  <c r="F5" i="7"/>
  <c r="F4" i="7"/>
  <c r="H9" i="2"/>
  <c r="H8" i="2"/>
  <c r="H7" i="2"/>
  <c r="H6" i="2"/>
  <c r="H5" i="2"/>
  <c r="H4" i="2"/>
  <c r="H3" i="2"/>
  <c r="B64" i="9" l="1"/>
  <c r="B24" i="9"/>
  <c r="B25" i="9" s="1"/>
  <c r="B27" i="9" s="1"/>
  <c r="B59" i="9"/>
  <c r="B60" i="9"/>
  <c r="B62" i="9" s="1"/>
  <c r="C76" i="7"/>
  <c r="F76" i="7" s="1"/>
  <c r="C85" i="7" s="1"/>
  <c r="F85" i="7" s="1"/>
  <c r="C94" i="7" s="1"/>
  <c r="F94" i="7" s="1"/>
  <c r="C103" i="7" s="1"/>
  <c r="F103" i="7" s="1"/>
  <c r="C112" i="7" s="1"/>
  <c r="F112" i="7" s="1"/>
  <c r="F67" i="7"/>
  <c r="C77" i="7"/>
  <c r="F77" i="7" s="1"/>
  <c r="C86" i="7" s="1"/>
  <c r="F86" i="7" s="1"/>
  <c r="C95" i="7" s="1"/>
  <c r="F95" i="7" s="1"/>
  <c r="C104" i="7" s="1"/>
  <c r="F104" i="7" s="1"/>
  <c r="C113" i="7" s="1"/>
  <c r="F113" i="7" s="1"/>
  <c r="C122" i="7" s="1"/>
  <c r="F122" i="7" s="1"/>
  <c r="C131" i="7" s="1"/>
  <c r="F131" i="7" s="1"/>
  <c r="F68" i="7"/>
  <c r="C78" i="7"/>
  <c r="F78" i="7" s="1"/>
  <c r="C87" i="7" s="1"/>
  <c r="F87" i="7" s="1"/>
  <c r="C96" i="7" s="1"/>
  <c r="F96" i="7" s="1"/>
  <c r="C105" i="7" s="1"/>
  <c r="F105" i="7" s="1"/>
  <c r="C114" i="7" s="1"/>
  <c r="F114" i="7" s="1"/>
  <c r="C123" i="7" s="1"/>
  <c r="F123" i="7" s="1"/>
  <c r="C132" i="7" s="1"/>
  <c r="F132" i="7" s="1"/>
  <c r="F69" i="7"/>
  <c r="F43" i="7"/>
  <c r="B53" i="9"/>
  <c r="B52" i="9"/>
  <c r="B54" i="9" s="1"/>
  <c r="B35" i="9"/>
  <c r="B34" i="9"/>
  <c r="B36" i="9" s="1"/>
  <c r="A99" i="7"/>
  <c r="A90" i="6"/>
  <c r="B96" i="7"/>
  <c r="B96" i="6" s="1"/>
  <c r="B117" i="7"/>
  <c r="B117" i="6" s="1"/>
  <c r="A106" i="7"/>
  <c r="A106" i="6" s="1"/>
  <c r="A100" i="7"/>
  <c r="A100" i="6" s="1"/>
  <c r="F20" i="7"/>
  <c r="B100" i="7"/>
  <c r="B100" i="6" s="1"/>
  <c r="B104" i="7"/>
  <c r="B104" i="6" s="1"/>
  <c r="B98" i="7"/>
  <c r="B98" i="6" s="1"/>
  <c r="A96" i="7"/>
  <c r="A96" i="6" s="1"/>
  <c r="A104" i="7"/>
  <c r="A104" i="6" s="1"/>
  <c r="A98" i="7"/>
  <c r="A98" i="6" s="1"/>
  <c r="B115" i="7"/>
  <c r="B115" i="6" s="1"/>
  <c r="B112" i="7"/>
  <c r="B112" i="6" s="1"/>
  <c r="A103" i="7"/>
  <c r="A103" i="6" s="1"/>
  <c r="F47" i="7"/>
  <c r="F38" i="7"/>
  <c r="F29" i="7"/>
  <c r="F11" i="7"/>
  <c r="B61" i="9" l="1"/>
  <c r="B63" i="9" s="1"/>
  <c r="B26" i="9"/>
  <c r="F52" i="7"/>
  <c r="A99" i="6"/>
  <c r="A108" i="7"/>
  <c r="E11" i="6"/>
  <c r="A107" i="7"/>
  <c r="A107" i="6" s="1"/>
  <c r="B113" i="7"/>
  <c r="B113" i="6" s="1"/>
  <c r="A115" i="7"/>
  <c r="A115" i="6" s="1"/>
  <c r="A113" i="7"/>
  <c r="A113" i="6" s="1"/>
  <c r="B109" i="7"/>
  <c r="B109" i="6" s="1"/>
  <c r="A112" i="7"/>
  <c r="A112" i="6" s="1"/>
  <c r="A105" i="7"/>
  <c r="A105" i="6" s="1"/>
  <c r="C121" i="7"/>
  <c r="B124" i="7"/>
  <c r="B124" i="6" s="1"/>
  <c r="B105" i="7"/>
  <c r="B105" i="6" s="1"/>
  <c r="B126" i="7"/>
  <c r="B126" i="6" s="1"/>
  <c r="B121" i="7"/>
  <c r="B121" i="6" s="1"/>
  <c r="B107" i="7"/>
  <c r="B107" i="6" s="1"/>
  <c r="A109" i="7"/>
  <c r="A109" i="6" s="1"/>
  <c r="F56" i="7" l="1"/>
  <c r="A108" i="6"/>
  <c r="A117" i="7"/>
  <c r="A118" i="7"/>
  <c r="A118" i="6" s="1"/>
  <c r="A122" i="7"/>
  <c r="A122" i="6" s="1"/>
  <c r="A124" i="7"/>
  <c r="A124" i="6" s="1"/>
  <c r="B114" i="7"/>
  <c r="B114" i="6" s="1"/>
  <c r="B122" i="7"/>
  <c r="B122" i="6" s="1"/>
  <c r="B130" i="7"/>
  <c r="B130" i="6" s="1"/>
  <c r="F121" i="7"/>
  <c r="B135" i="7"/>
  <c r="B135" i="6" s="1"/>
  <c r="A114" i="7"/>
  <c r="A114" i="6" s="1"/>
  <c r="A121" i="7"/>
  <c r="A121" i="6" s="1"/>
  <c r="B116" i="7"/>
  <c r="B116" i="6" s="1"/>
  <c r="B133" i="7"/>
  <c r="B133" i="6" s="1"/>
  <c r="B118" i="7"/>
  <c r="B118" i="6" s="1"/>
  <c r="A116" i="7"/>
  <c r="A116" i="6" s="1"/>
  <c r="F61" i="7" l="1"/>
  <c r="A117" i="6"/>
  <c r="A126" i="7"/>
  <c r="C130" i="7"/>
  <c r="A133" i="7"/>
  <c r="A133" i="6" s="1"/>
  <c r="A151" i="6" s="1"/>
  <c r="A130" i="7"/>
  <c r="A130" i="6" s="1"/>
  <c r="A148" i="6" s="1"/>
  <c r="B125" i="7"/>
  <c r="B125" i="6" s="1"/>
  <c r="B123" i="7"/>
  <c r="B123" i="6" s="1"/>
  <c r="A125" i="7"/>
  <c r="A125" i="6" s="1"/>
  <c r="A131" i="7"/>
  <c r="A131" i="6" s="1"/>
  <c r="A149" i="6" s="1"/>
  <c r="B127" i="7"/>
  <c r="B127" i="6" s="1"/>
  <c r="A123" i="7"/>
  <c r="A123" i="6" s="1"/>
  <c r="A127" i="7"/>
  <c r="A127" i="6" s="1"/>
  <c r="B131" i="7"/>
  <c r="B131" i="6" s="1"/>
  <c r="C79" i="7" l="1"/>
  <c r="F65" i="7"/>
  <c r="F70" i="7"/>
  <c r="A126" i="6"/>
  <c r="A135" i="7"/>
  <c r="A135" i="6" s="1"/>
  <c r="A153" i="6" s="1"/>
  <c r="B134" i="7"/>
  <c r="B134" i="6" s="1"/>
  <c r="A136" i="7"/>
  <c r="A136" i="6" s="1"/>
  <c r="A154" i="6" s="1"/>
  <c r="A134" i="7"/>
  <c r="A134" i="6" s="1"/>
  <c r="A152" i="6" s="1"/>
  <c r="B136" i="7"/>
  <c r="B136" i="6" s="1"/>
  <c r="A132" i="7"/>
  <c r="A132" i="6" s="1"/>
  <c r="A150" i="6" s="1"/>
  <c r="B132" i="7"/>
  <c r="B132" i="6" s="1"/>
  <c r="F130" i="7"/>
  <c r="F79" i="7" l="1"/>
  <c r="C83" i="7"/>
  <c r="C88" i="7" l="1"/>
  <c r="F83" i="7"/>
  <c r="F88" i="7" l="1"/>
  <c r="C92" i="7"/>
  <c r="C97" i="7" l="1"/>
  <c r="F92" i="7"/>
  <c r="F97" i="7" l="1"/>
  <c r="C101" i="7"/>
  <c r="C106" i="7" l="1"/>
  <c r="F101" i="7"/>
  <c r="F106" i="7" l="1"/>
  <c r="C110" i="7"/>
  <c r="C115" i="7" l="1"/>
  <c r="F110" i="7"/>
  <c r="F115" i="7" l="1"/>
  <c r="C119" i="7"/>
  <c r="C124" i="7" l="1"/>
  <c r="F119" i="7"/>
  <c r="F124" i="7" l="1"/>
  <c r="C128" i="7"/>
  <c r="C133" i="7" l="1"/>
  <c r="F128" i="7"/>
  <c r="F133" i="7" l="1"/>
  <c r="F137" i="7" s="1"/>
  <c r="C137" i="7"/>
</calcChain>
</file>

<file path=xl/sharedStrings.xml><?xml version="1.0" encoding="utf-8"?>
<sst xmlns="http://schemas.openxmlformats.org/spreadsheetml/2006/main" count="433" uniqueCount="89">
  <si>
    <t>СПРАВОЧНИК ТОВАРОВ</t>
  </si>
  <si>
    <t>Артикул WB</t>
  </si>
  <si>
    <t>Код</t>
  </si>
  <si>
    <t>Название</t>
  </si>
  <si>
    <t>Вес, кг</t>
  </si>
  <si>
    <t>Объём, л</t>
  </si>
  <si>
    <t>Кол-во в ячейке</t>
  </si>
  <si>
    <t>Брендирование</t>
  </si>
  <si>
    <t>Вес-категория</t>
  </si>
  <si>
    <t>Ak10</t>
  </si>
  <si>
    <t>Аккумулятор 10</t>
  </si>
  <si>
    <t>нет</t>
  </si>
  <si>
    <t>Ak15</t>
  </si>
  <si>
    <t>Аккумулятор 15</t>
  </si>
  <si>
    <t>G1800</t>
  </si>
  <si>
    <t>Гайковерт 1800</t>
  </si>
  <si>
    <t>да</t>
  </si>
  <si>
    <t>G3500</t>
  </si>
  <si>
    <t>Гайковерт 3500</t>
  </si>
  <si>
    <t>G800</t>
  </si>
  <si>
    <t>Гайковерт 800</t>
  </si>
  <si>
    <t>MiK</t>
  </si>
  <si>
    <t>Микрофон KMS-902MC</t>
  </si>
  <si>
    <t>MiP</t>
  </si>
  <si>
    <t>Петличный Микрофон</t>
  </si>
  <si>
    <t>ТАРИФЫ НАЧИСЛЕНИЯ СЕЛЛЕРУ (₽/шт)</t>
  </si>
  <si>
    <t>Этап</t>
  </si>
  <si>
    <t>до 1кг</t>
  </si>
  <si>
    <t>1-5кг</t>
  </si>
  <si>
    <t>5-10кг</t>
  </si>
  <si>
    <t>&gt;10кг</t>
  </si>
  <si>
    <t>ПриёмкаПРЯМОЙ ПОТОК</t>
  </si>
  <si>
    <t>БрендПРЯМОЙ ПОТОК</t>
  </si>
  <si>
    <t>УпаковкаПРЯМОЙ ПОТОК</t>
  </si>
  <si>
    <t>СборкаПРЯМОЙ ПОТОК</t>
  </si>
  <si>
    <t>ПриёмкаОБРАТНЫЙ ПОТОК</t>
  </si>
  <si>
    <t>ПроверкаОБРАТНЫЙ ПОТОК</t>
  </si>
  <si>
    <t>РемонтОБРАТНЫЙ ПОТОК</t>
  </si>
  <si>
    <t>УпаковкаОБРАТНЫЙ ПОТОК</t>
  </si>
  <si>
    <t>ВОЗВРАТ_СКЛАД</t>
  </si>
  <si>
    <t>ВОЗВРАТ_РЕМОНТ</t>
  </si>
  <si>
    <t>ВОЗВРАТ_СЕЛЛЕРУ</t>
  </si>
  <si>
    <t>ТАРИФЫ МОТИВАЦИИ ПЕРСОНАЛУ (₽/шт)</t>
  </si>
  <si>
    <t>Завалишин Д.Л.</t>
  </si>
  <si>
    <t>Оператор</t>
  </si>
  <si>
    <t>Пузанов Д.В.</t>
  </si>
  <si>
    <t>Дата</t>
  </si>
  <si>
    <t>Остаток начало</t>
  </si>
  <si>
    <t>Прибытие</t>
  </si>
  <si>
    <t>Убытие</t>
  </si>
  <si>
    <t>Остаток конец</t>
  </si>
  <si>
    <t>НАЧИСЛЕНИЯ СЕЛЛЕРУ</t>
  </si>
  <si>
    <t>Автоматический расчёт. Не вводите данные сюда — только в Журнал.</t>
  </si>
  <si>
    <t>Сумма</t>
  </si>
  <si>
    <t>ИТОГО</t>
  </si>
  <si>
    <t xml:space="preserve">ДВИЖЕНИЕ ТОВАРА </t>
  </si>
  <si>
    <t>Приемка</t>
  </si>
  <si>
    <t>В сборку входят: брендирование, упаковка и выдача</t>
  </si>
  <si>
    <t>ПН</t>
  </si>
  <si>
    <t>ВТ</t>
  </si>
  <si>
    <t>СР</t>
  </si>
  <si>
    <t>ЧТ</t>
  </si>
  <si>
    <t>ПТ</t>
  </si>
  <si>
    <t>СБ</t>
  </si>
  <si>
    <t>ВС</t>
  </si>
  <si>
    <t>Артикул</t>
  </si>
  <si>
    <t>Отправка</t>
  </si>
  <si>
    <t>Итого</t>
  </si>
  <si>
    <t>НЕДЕЛЯ</t>
  </si>
  <si>
    <t>АК-10</t>
  </si>
  <si>
    <t>АК-15</t>
  </si>
  <si>
    <t>Г 1800</t>
  </si>
  <si>
    <t>Г 3500</t>
  </si>
  <si>
    <t>Г 800</t>
  </si>
  <si>
    <t>Товар</t>
  </si>
  <si>
    <t>КОФФИЦИЕНТ ПЕРЕВОДА</t>
  </si>
  <si>
    <t>НАЧИСЛЕНИЯ ЗА ФУЛФИЛМЕНТ</t>
  </si>
  <si>
    <t>Хранение</t>
  </si>
  <si>
    <t>Ми-К</t>
  </si>
  <si>
    <t>Ми-П</t>
  </si>
  <si>
    <t>Прибытие / Убытие. Остаток на конец = начало + приход – уход.</t>
  </si>
  <si>
    <t>Приход</t>
  </si>
  <si>
    <t>Тариф приемки</t>
  </si>
  <si>
    <t>Тариф отправки</t>
  </si>
  <si>
    <t>Приемка, руб</t>
  </si>
  <si>
    <t>Отправка, руб</t>
  </si>
  <si>
    <t>ИТОГО, руб</t>
  </si>
  <si>
    <t>ИТОГО: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</si>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</sst>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dd\.mm\.yyyy"/>
    <numFmt numFmtId="165" formatCode="_-* #,##0\ &quot;₽&quot;_-;\-* #,##0\ &quot;₽&quot;_-;_-* &quot;-&quot;??\ &quot;₽&quot;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10"/>
      <color rgb="FF0000FF"/>
      <name val="Arial"/>
      <family val="2"/>
      <charset val="204"/>
    </font>
    <font>
      <i/>
      <sz val="9"/>
      <name val="Arial"/>
      <family val="2"/>
      <charset val="204"/>
    </font>
    <font>
      <b/>
      <sz val="14"/>
      <color rgb="FF6B0F2B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6B0F2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medium">
        <color indexed="64"/>
      </left>
      <right style="thin">
        <color rgb="FFB4B4B4"/>
      </right>
      <top style="medium">
        <color indexed="6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medium">
        <color indexed="64"/>
      </top>
      <bottom style="thin">
        <color rgb="FFB4B4B4"/>
      </bottom>
      <diagonal/>
    </border>
    <border>
      <left style="thin">
        <color rgb="FFB4B4B4"/>
      </left>
      <right style="medium">
        <color indexed="64"/>
      </right>
      <top style="medium">
        <color indexed="64"/>
      </top>
      <bottom style="thin">
        <color rgb="FFB4B4B4"/>
      </bottom>
      <diagonal/>
    </border>
    <border>
      <left style="medium">
        <color indexed="6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medium">
        <color indexed="64"/>
      </right>
      <top style="thin">
        <color rgb="FFB4B4B4"/>
      </top>
      <bottom style="thin">
        <color rgb="FFB4B4B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4B4B4"/>
      </right>
      <top style="thin">
        <color rgb="FFB4B4B4"/>
      </top>
      <bottom style="double">
        <color indexed="6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double">
        <color indexed="64"/>
      </bottom>
      <diagonal/>
    </border>
    <border>
      <left style="thin">
        <color rgb="FFB4B4B4"/>
      </left>
      <right style="medium">
        <color indexed="64"/>
      </right>
      <top style="thin">
        <color rgb="FFB4B4B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FFC000"/>
      </right>
      <top/>
      <bottom style="double">
        <color indexed="64"/>
      </bottom>
      <diagonal/>
    </border>
    <border>
      <left/>
      <right style="thin">
        <color rgb="FFFFC000"/>
      </right>
      <top style="medium">
        <color indexed="64"/>
      </top>
      <bottom/>
      <diagonal/>
    </border>
    <border>
      <left style="medium">
        <color indexed="64"/>
      </left>
      <right style="thin">
        <color rgb="FFFFC000"/>
      </right>
      <top style="medium">
        <color indexed="64"/>
      </top>
      <bottom/>
      <diagonal/>
    </border>
    <border>
      <left style="medium">
        <color indexed="64"/>
      </left>
      <right style="thin">
        <color rgb="FFFFC000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FFC000"/>
      </bottom>
      <diagonal/>
    </border>
    <border>
      <left style="medium">
        <color indexed="64"/>
      </left>
      <right style="medium">
        <color indexed="64"/>
      </right>
      <top style="thin">
        <color rgb="FFFFC000"/>
      </top>
      <bottom style="thin">
        <color rgb="FFFFC000"/>
      </bottom>
      <diagonal/>
    </border>
    <border>
      <left style="medium">
        <color indexed="64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rgb="FFB4B4B4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double">
        <color indexed="64"/>
      </bottom>
      <diagonal/>
    </border>
    <border>
      <left/>
      <right style="thin">
        <color rgb="FFB4B4B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rgb="FFFFC000"/>
      </right>
      <top style="medium">
        <color indexed="64"/>
      </top>
      <bottom style="thin">
        <color rgb="FFFFC000"/>
      </bottom>
      <diagonal/>
    </border>
    <border>
      <left/>
      <right style="thin">
        <color rgb="FFFFC000"/>
      </right>
      <top style="medium">
        <color indexed="64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medium">
        <color indexed="64"/>
      </top>
      <bottom style="thin">
        <color rgb="FFFFC000"/>
      </bottom>
      <diagonal/>
    </border>
    <border>
      <left/>
      <right style="thin">
        <color rgb="FFB4B4B4"/>
      </right>
      <top style="medium">
        <color indexed="64"/>
      </top>
      <bottom style="thin">
        <color rgb="FFFFC000"/>
      </bottom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FFC000"/>
      </left>
      <right style="thin">
        <color rgb="FFFFC000"/>
      </right>
      <top style="medium">
        <color indexed="64"/>
      </top>
      <bottom/>
      <diagonal/>
    </border>
    <border>
      <left/>
      <right style="thin">
        <color rgb="FFB4B4B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B4B4B4"/>
      </right>
      <top/>
      <bottom style="medium">
        <color indexed="64"/>
      </bottom>
      <diagonal/>
    </border>
    <border>
      <left style="thin">
        <color rgb="FFB4B4B4"/>
      </left>
      <right style="thin">
        <color rgb="FFB4B4B4"/>
      </right>
      <top/>
      <bottom style="medium">
        <color indexed="64"/>
      </bottom>
      <diagonal/>
    </border>
    <border>
      <left style="thin">
        <color rgb="FFB4B4B4"/>
      </left>
      <right style="medium">
        <color indexed="64"/>
      </right>
      <top/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9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3" fontId="3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164" fontId="7" fillId="0" borderId="3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64" fontId="7" fillId="0" borderId="6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164" fontId="7" fillId="0" borderId="11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164" fontId="7" fillId="5" borderId="6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164" fontId="8" fillId="6" borderId="8" xfId="0" applyNumberFormat="1" applyFont="1" applyFill="1" applyBorder="1" applyAlignment="1">
      <alignment horizontal="center" vertical="center"/>
    </xf>
    <xf numFmtId="44" fontId="8" fillId="6" borderId="9" xfId="1" applyFont="1" applyFill="1" applyBorder="1" applyAlignment="1">
      <alignment horizontal="center" vertical="center"/>
    </xf>
    <xf numFmtId="44" fontId="8" fillId="6" borderId="14" xfId="1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164" fontId="7" fillId="0" borderId="18" xfId="0" applyNumberFormat="1" applyFont="1" applyFill="1" applyBorder="1" applyAlignment="1">
      <alignment horizontal="center" vertical="center"/>
    </xf>
    <xf numFmtId="165" fontId="8" fillId="0" borderId="19" xfId="1" applyNumberFormat="1" applyFont="1" applyFill="1" applyBorder="1" applyAlignment="1">
      <alignment horizontal="center" vertical="center"/>
    </xf>
    <xf numFmtId="164" fontId="7" fillId="5" borderId="21" xfId="0" applyNumberFormat="1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44" fontId="0" fillId="5" borderId="23" xfId="1" applyFont="1" applyFill="1" applyBorder="1"/>
    <xf numFmtId="44" fontId="7" fillId="5" borderId="24" xfId="1" applyFont="1" applyFill="1" applyBorder="1" applyAlignment="1">
      <alignment horizontal="center" vertical="center"/>
    </xf>
    <xf numFmtId="44" fontId="7" fillId="5" borderId="20" xfId="1" applyFont="1" applyFill="1" applyBorder="1" applyAlignment="1">
      <alignment horizontal="center" vertical="center"/>
    </xf>
    <xf numFmtId="164" fontId="7" fillId="0" borderId="21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44" fontId="7" fillId="0" borderId="23" xfId="1" applyFont="1" applyFill="1" applyBorder="1" applyAlignment="1">
      <alignment horizontal="center" vertical="center"/>
    </xf>
    <xf numFmtId="44" fontId="7" fillId="0" borderId="24" xfId="1" applyFont="1" applyFill="1" applyBorder="1" applyAlignment="1">
      <alignment horizontal="center" vertical="center"/>
    </xf>
    <xf numFmtId="44" fontId="7" fillId="0" borderId="20" xfId="1" applyFont="1" applyFill="1" applyBorder="1" applyAlignment="1">
      <alignment horizontal="center" vertical="center"/>
    </xf>
    <xf numFmtId="44" fontId="7" fillId="0" borderId="25" xfId="1" applyFont="1" applyFill="1" applyBorder="1" applyAlignment="1">
      <alignment horizontal="center" vertical="center"/>
    </xf>
    <xf numFmtId="44" fontId="7" fillId="0" borderId="26" xfId="1" applyFont="1" applyFill="1" applyBorder="1" applyAlignment="1">
      <alignment horizontal="center" vertical="center"/>
    </xf>
    <xf numFmtId="44" fontId="7" fillId="0" borderId="27" xfId="1" applyFont="1" applyFill="1" applyBorder="1" applyAlignment="1">
      <alignment horizontal="center" vertical="center"/>
    </xf>
    <xf numFmtId="164" fontId="7" fillId="0" borderId="28" xfId="0" applyNumberFormat="1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44" fontId="7" fillId="0" borderId="30" xfId="1" applyFont="1" applyFill="1" applyBorder="1" applyAlignment="1">
      <alignment horizontal="center" vertical="center"/>
    </xf>
    <xf numFmtId="44" fontId="7" fillId="0" borderId="31" xfId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44" fontId="1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164" fontId="1" fillId="5" borderId="1" xfId="0" applyNumberFormat="1" applyFont="1" applyFill="1" applyBorder="1" applyAlignment="1">
      <alignment horizontal="center" vertical="center"/>
    </xf>
    <xf numFmtId="44" fontId="1" fillId="5" borderId="1" xfId="0" applyNumberFormat="1" applyFont="1" applyFill="1" applyBorder="1" applyAlignment="1">
      <alignment horizontal="center" vertical="center"/>
    </xf>
    <xf numFmtId="164" fontId="1" fillId="0" borderId="32" xfId="0" applyNumberFormat="1" applyFont="1" applyFill="1" applyBorder="1" applyAlignment="1">
      <alignment horizontal="center" vertical="center"/>
    </xf>
    <xf numFmtId="164" fontId="9" fillId="0" borderId="32" xfId="0" applyNumberFormat="1" applyFont="1" applyFill="1" applyBorder="1" applyAlignment="1">
      <alignment horizontal="center" vertical="center"/>
    </xf>
    <xf numFmtId="44" fontId="9" fillId="0" borderId="32" xfId="0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44" fontId="1" fillId="0" borderId="4" xfId="0" applyNumberFormat="1" applyFont="1" applyFill="1" applyBorder="1" applyAlignment="1">
      <alignment horizontal="center" vertical="center"/>
    </xf>
    <xf numFmtId="44" fontId="1" fillId="0" borderId="5" xfId="0" applyNumberFormat="1" applyFont="1" applyFill="1" applyBorder="1" applyAlignment="1">
      <alignment horizontal="center" vertical="center"/>
    </xf>
    <xf numFmtId="164" fontId="1" fillId="5" borderId="6" xfId="0" applyNumberFormat="1" applyFont="1" applyFill="1" applyBorder="1" applyAlignment="1">
      <alignment horizontal="center" vertical="center"/>
    </xf>
    <xf numFmtId="44" fontId="1" fillId="5" borderId="7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/>
    </xf>
    <xf numFmtId="44" fontId="1" fillId="0" borderId="7" xfId="0" applyNumberFormat="1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2" fillId="4" borderId="33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164" fontId="1" fillId="6" borderId="36" xfId="0" applyNumberFormat="1" applyFont="1" applyFill="1" applyBorder="1" applyAlignment="1">
      <alignment horizontal="center" vertical="center"/>
    </xf>
    <xf numFmtId="164" fontId="9" fillId="6" borderId="37" xfId="0" applyNumberFormat="1" applyFont="1" applyFill="1" applyBorder="1" applyAlignment="1">
      <alignment horizontal="center" vertical="center"/>
    </xf>
    <xf numFmtId="44" fontId="9" fillId="6" borderId="37" xfId="0" applyNumberFormat="1" applyFont="1" applyFill="1" applyBorder="1" applyAlignment="1">
      <alignment horizontal="center" vertical="center"/>
    </xf>
    <xf numFmtId="44" fontId="9" fillId="6" borderId="38" xfId="0" applyNumberFormat="1" applyFont="1" applyFill="1" applyBorder="1" applyAlignment="1">
      <alignment horizontal="center" vertical="center"/>
    </xf>
    <xf numFmtId="164" fontId="1" fillId="0" borderId="11" xfId="0" applyNumberFormat="1" applyFont="1" applyFill="1" applyBorder="1" applyAlignment="1">
      <alignment horizontal="center" vertical="center"/>
    </xf>
    <xf numFmtId="164" fontId="1" fillId="0" borderId="12" xfId="0" applyNumberFormat="1" applyFont="1" applyFill="1" applyBorder="1" applyAlignment="1">
      <alignment horizontal="center" vertical="center"/>
    </xf>
    <xf numFmtId="44" fontId="1" fillId="0" borderId="12" xfId="0" applyNumberFormat="1" applyFont="1" applyFill="1" applyBorder="1" applyAlignment="1">
      <alignment horizontal="center" vertical="center"/>
    </xf>
    <xf numFmtId="44" fontId="1" fillId="0" borderId="13" xfId="0" applyNumberFormat="1" applyFont="1" applyFill="1" applyBorder="1" applyAlignment="1">
      <alignment horizontal="center" vertical="center"/>
    </xf>
    <xf numFmtId="164" fontId="9" fillId="6" borderId="36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/>
    <xf numFmtId="44" fontId="0" fillId="0" borderId="0" xfId="0" applyNumberFormat="1"/>
    <xf numFmtId="43" fontId="3" fillId="2" borderId="1" xfId="2" applyFont="1" applyFill="1" applyBorder="1" applyAlignment="1">
      <alignment horizontal="center" vertical="center"/>
    </xf>
    <xf numFmtId="0" fontId="1" fillId="0" borderId="0" xfId="0" applyFont="1" applyBorder="1"/>
    <xf numFmtId="43" fontId="3" fillId="2" borderId="0" xfId="0" applyNumberFormat="1" applyFont="1" applyFill="1" applyBorder="1" applyAlignment="1">
      <alignment horizontal="center" vertical="center"/>
    </xf>
    <xf numFmtId="0" fontId="0" fillId="0" borderId="0" xfId="0"/>
    <xf numFmtId="44" fontId="3" fillId="2" borderId="1" xfId="1" applyFont="1" applyFill="1" applyBorder="1" applyAlignment="1">
      <alignment horizontal="center" vertical="center"/>
    </xf>
    <xf numFmtId="44" fontId="0" fillId="0" borderId="0" xfId="1" applyFont="1"/>
    <xf numFmtId="44" fontId="0" fillId="0" borderId="39" xfId="1" applyFont="1" applyBorder="1"/>
    <xf numFmtId="0" fontId="0" fillId="0" borderId="39" xfId="0" applyBorder="1"/>
    <xf numFmtId="14" fontId="0" fillId="0" borderId="39" xfId="0" applyNumberFormat="1" applyBorder="1"/>
    <xf numFmtId="0" fontId="5" fillId="0" borderId="0" xfId="0" applyFont="1"/>
    <xf numFmtId="0" fontId="0" fillId="0" borderId="0" xfId="0"/>
  </cellXfs>
  <cellStyles count="3">
    <cellStyle name="Денежный" xfId="1" builtinId="4"/>
    <cellStyle name="Обычный" xfId="0" builtinId="0"/>
    <cellStyle name="Финансовый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J9"/>
  <sheetViews>
    <sheetView workbookViewId="0">
      <selection activeCell="E23" sqref="E23"/>
    </sheetView>
  </sheetViews>
  <sheetFormatPr defaultRowHeight="14.4" x14ac:dyDescent="0.3"/>
  <cols>
    <col min="1" max="1" width="14" customWidth="1"/>
    <col min="2" max="2" width="8" customWidth="1"/>
    <col min="3" max="3" width="22" customWidth="1"/>
    <col min="4" max="5" width="10" customWidth="1"/>
    <col min="6" max="8" width="14" customWidth="1"/>
    <col min="9" max="9" width="11" bestFit="1" customWidth="1"/>
  </cols>
  <sheetData>
    <row r="1" spans="1:10" ht="17.399999999999999" x14ac:dyDescent="0.3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</row>
    <row r="2" spans="1:10" ht="27.6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77</v>
      </c>
    </row>
    <row r="3" spans="1:10" x14ac:dyDescent="0.3">
      <c r="A3" s="1">
        <v>1088614022</v>
      </c>
      <c r="B3" s="1" t="s">
        <v>69</v>
      </c>
      <c r="C3" s="1" t="s">
        <v>10</v>
      </c>
      <c r="D3" s="2">
        <v>0.55000000000000004</v>
      </c>
      <c r="E3" s="2">
        <f>12.5*9*8.3/1000</f>
        <v>0.93375000000000008</v>
      </c>
      <c r="F3" s="1">
        <v>42</v>
      </c>
      <c r="G3" s="1" t="s">
        <v>16</v>
      </c>
      <c r="H3" s="3" t="str">
        <f t="shared" ref="H3:H9" si="0">IF(D3="","",IF(D3&lt;=1,"до 1кг",IF(D3&lt;=5,"1-5кг",IF(D3&lt;=10,"5-10кг","&gt;10кг"))))</f>
        <v>до 1кг</v>
      </c>
      <c r="I3" s="88">
        <f>15/F3</f>
        <v>0.35714285714285715</v>
      </c>
    </row>
    <row r="4" spans="1:10" x14ac:dyDescent="0.3">
      <c r="A4" s="1">
        <v>604564457</v>
      </c>
      <c r="B4" s="1" t="s">
        <v>70</v>
      </c>
      <c r="C4" s="1" t="s">
        <v>13</v>
      </c>
      <c r="D4" s="2">
        <v>0.76</v>
      </c>
      <c r="E4" s="2">
        <v>0.93374999999999997</v>
      </c>
      <c r="F4" s="1">
        <v>42</v>
      </c>
      <c r="G4" s="1" t="s">
        <v>16</v>
      </c>
      <c r="H4" s="3" t="str">
        <f t="shared" si="0"/>
        <v>до 1кг</v>
      </c>
      <c r="I4" s="88">
        <f>15/F4</f>
        <v>0.35714285714285715</v>
      </c>
    </row>
    <row r="5" spans="1:10" x14ac:dyDescent="0.3">
      <c r="A5" s="1">
        <v>402395402</v>
      </c>
      <c r="B5" s="1" t="s">
        <v>71</v>
      </c>
      <c r="C5" s="1" t="s">
        <v>15</v>
      </c>
      <c r="D5" s="2">
        <v>5.12</v>
      </c>
      <c r="E5" s="2">
        <v>14.76</v>
      </c>
      <c r="F5" s="1">
        <v>2</v>
      </c>
      <c r="G5" s="1" t="s">
        <v>16</v>
      </c>
      <c r="H5" s="3" t="str">
        <f t="shared" si="0"/>
        <v>5-10кг</v>
      </c>
      <c r="I5" s="88">
        <v>5</v>
      </c>
    </row>
    <row r="6" spans="1:10" x14ac:dyDescent="0.3">
      <c r="A6" s="1">
        <v>548182523</v>
      </c>
      <c r="B6" s="1" t="s">
        <v>72</v>
      </c>
      <c r="C6" s="1" t="s">
        <v>18</v>
      </c>
      <c r="D6" s="2">
        <v>4.7</v>
      </c>
      <c r="E6" s="2">
        <v>14.76</v>
      </c>
      <c r="F6" s="1">
        <v>2</v>
      </c>
      <c r="G6" s="1" t="s">
        <v>16</v>
      </c>
      <c r="H6" s="3" t="str">
        <f t="shared" si="0"/>
        <v>1-5кг</v>
      </c>
      <c r="I6" s="88">
        <v>5</v>
      </c>
    </row>
    <row r="7" spans="1:10" x14ac:dyDescent="0.3">
      <c r="A7" s="1">
        <v>1006014419</v>
      </c>
      <c r="B7" s="1" t="s">
        <v>73</v>
      </c>
      <c r="C7" s="1" t="s">
        <v>20</v>
      </c>
      <c r="D7" s="2">
        <v>3.7</v>
      </c>
      <c r="E7" s="2">
        <v>12.768000000000001</v>
      </c>
      <c r="F7" s="1">
        <v>3</v>
      </c>
      <c r="G7" s="1" t="s">
        <v>16</v>
      </c>
      <c r="H7" s="3" t="str">
        <f t="shared" si="0"/>
        <v>1-5кг</v>
      </c>
      <c r="I7" s="88">
        <v>5</v>
      </c>
    </row>
    <row r="8" spans="1:10" x14ac:dyDescent="0.3">
      <c r="A8" s="1">
        <v>706101815</v>
      </c>
      <c r="B8" s="1" t="s">
        <v>78</v>
      </c>
      <c r="C8" s="1" t="s">
        <v>22</v>
      </c>
      <c r="D8" s="2">
        <v>0.67</v>
      </c>
      <c r="E8" s="2">
        <f>30*19*6/1000</f>
        <v>3.42</v>
      </c>
      <c r="F8" s="1">
        <f>ROUNDDOWN(40/E8,0)</f>
        <v>11</v>
      </c>
      <c r="G8" s="1" t="s">
        <v>11</v>
      </c>
      <c r="H8" s="3" t="str">
        <f t="shared" si="0"/>
        <v>до 1кг</v>
      </c>
      <c r="I8" s="88">
        <f>15/F8</f>
        <v>1.3636363636363635</v>
      </c>
    </row>
    <row r="9" spans="1:10" x14ac:dyDescent="0.3">
      <c r="A9" s="1"/>
      <c r="B9" s="1" t="s">
        <v>79</v>
      </c>
      <c r="C9" s="1" t="s">
        <v>24</v>
      </c>
      <c r="D9" s="2">
        <v>0.3</v>
      </c>
      <c r="E9" s="2">
        <f>12*9*4/1000</f>
        <v>0.432</v>
      </c>
      <c r="F9" s="1">
        <f>ROUNDDOWN(40/E9,0)</f>
        <v>92</v>
      </c>
      <c r="G9" s="1" t="s">
        <v>11</v>
      </c>
      <c r="H9" s="3" t="str">
        <f t="shared" si="0"/>
        <v>до 1кг</v>
      </c>
      <c r="I9" s="88">
        <f>15/F9</f>
        <v>0.16304347826086957</v>
      </c>
    </row>
  </sheetData>
  <mergeCells count="1">
    <mergeCell ref="A1:J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K41"/>
  <sheetViews>
    <sheetView workbookViewId="0">
      <selection activeCell="G19" sqref="G19"/>
    </sheetView>
  </sheetViews>
  <sheetFormatPr defaultRowHeight="14.4" x14ac:dyDescent="0.3"/>
  <cols>
    <col min="1" max="1" width="28" customWidth="1"/>
    <col min="2" max="5" width="12" customWidth="1"/>
    <col min="8" max="11" width="10.77734375" customWidth="1"/>
  </cols>
  <sheetData>
    <row r="1" spans="1:11" ht="17.399999999999999" x14ac:dyDescent="0.3">
      <c r="A1" s="7" t="s">
        <v>25</v>
      </c>
    </row>
    <row r="2" spans="1:11" x14ac:dyDescent="0.3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  <c r="H2" s="8" t="s">
        <v>2</v>
      </c>
      <c r="I2" s="8" t="s">
        <v>56</v>
      </c>
      <c r="J2" s="8" t="s">
        <v>66</v>
      </c>
      <c r="K2" s="8" t="s">
        <v>88</v>
      </c>
    </row>
    <row r="3" spans="1:11" x14ac:dyDescent="0.3">
      <c r="A3" s="4" t="s">
        <v>31</v>
      </c>
      <c r="B3" s="5">
        <v>10</v>
      </c>
      <c r="C3" s="5">
        <v>10</v>
      </c>
      <c r="D3" s="5">
        <v>10</v>
      </c>
      <c r="E3" s="5">
        <v>10</v>
      </c>
      <c r="H3" s="85" t="str">
        <f>'01_Справочник_Товары'!B3</f>
        <v>АК-10</v>
      </c>
      <c r="I3" s="86">
        <f>B3</f>
        <v>10</v>
      </c>
      <c r="J3" s="86">
        <f>+B4+B5+B6</f>
        <v>40</v>
      </c>
      <c r="K3" s="86">
        <f>I3+J3</f>
        <v>50</v>
      </c>
    </row>
    <row r="4" spans="1:11" x14ac:dyDescent="0.3">
      <c r="A4" s="4" t="s">
        <v>32</v>
      </c>
      <c r="B4" s="5">
        <v>10</v>
      </c>
      <c r="C4" s="5">
        <v>10</v>
      </c>
      <c r="D4" s="5">
        <v>15</v>
      </c>
      <c r="E4" s="5">
        <v>20</v>
      </c>
      <c r="H4" s="85" t="str">
        <f>'01_Справочник_Товары'!B4</f>
        <v>АК-15</v>
      </c>
      <c r="I4" s="86">
        <f>B3</f>
        <v>10</v>
      </c>
      <c r="J4" s="86">
        <f>B4+B5+B6</f>
        <v>40</v>
      </c>
      <c r="K4" s="86">
        <f t="shared" ref="K4:K9" si="0">I4+J4</f>
        <v>50</v>
      </c>
    </row>
    <row r="5" spans="1:11" x14ac:dyDescent="0.3">
      <c r="A5" s="4" t="s">
        <v>33</v>
      </c>
      <c r="B5" s="5">
        <v>20</v>
      </c>
      <c r="C5" s="5">
        <v>30</v>
      </c>
      <c r="D5" s="5">
        <v>35</v>
      </c>
      <c r="E5" s="5">
        <v>45</v>
      </c>
      <c r="H5" s="85" t="str">
        <f>'01_Справочник_Товары'!B5</f>
        <v>Г 1800</v>
      </c>
      <c r="I5" s="86">
        <f>C3</f>
        <v>10</v>
      </c>
      <c r="J5" s="86">
        <f>C4+C5+C6</f>
        <v>55</v>
      </c>
      <c r="K5" s="86">
        <f t="shared" si="0"/>
        <v>65</v>
      </c>
    </row>
    <row r="6" spans="1:11" x14ac:dyDescent="0.3">
      <c r="A6" s="4" t="s">
        <v>34</v>
      </c>
      <c r="B6" s="5">
        <v>10</v>
      </c>
      <c r="C6" s="5">
        <v>15</v>
      </c>
      <c r="D6" s="5">
        <v>25</v>
      </c>
      <c r="E6" s="5">
        <v>30</v>
      </c>
      <c r="H6" s="85" t="str">
        <f>'01_Справочник_Товары'!B6</f>
        <v>Г 3500</v>
      </c>
      <c r="I6" s="86">
        <f>D3</f>
        <v>10</v>
      </c>
      <c r="J6" s="86">
        <f>D4+D5+D6</f>
        <v>75</v>
      </c>
      <c r="K6" s="86">
        <f t="shared" si="0"/>
        <v>85</v>
      </c>
    </row>
    <row r="7" spans="1:11" x14ac:dyDescent="0.3">
      <c r="A7" s="4" t="s">
        <v>35</v>
      </c>
      <c r="B7" s="5">
        <v>10</v>
      </c>
      <c r="C7" s="5">
        <v>10</v>
      </c>
      <c r="D7" s="5">
        <v>10</v>
      </c>
      <c r="E7" s="5">
        <v>10</v>
      </c>
      <c r="H7" s="85" t="str">
        <f>'01_Справочник_Товары'!B7</f>
        <v>Г 800</v>
      </c>
      <c r="I7" s="86">
        <f>C3</f>
        <v>10</v>
      </c>
      <c r="J7" s="86">
        <f>C4+C5+C6</f>
        <v>55</v>
      </c>
      <c r="K7" s="86">
        <f t="shared" si="0"/>
        <v>65</v>
      </c>
    </row>
    <row r="8" spans="1:11" x14ac:dyDescent="0.3">
      <c r="A8" s="4" t="s">
        <v>36</v>
      </c>
      <c r="B8" s="5">
        <v>10</v>
      </c>
      <c r="C8" s="5">
        <v>15</v>
      </c>
      <c r="D8" s="5">
        <v>20</v>
      </c>
      <c r="E8" s="5">
        <v>25</v>
      </c>
      <c r="H8" s="85" t="str">
        <f>'01_Справочник_Товары'!B8</f>
        <v>Ми-К</v>
      </c>
      <c r="I8" s="86">
        <f>B3</f>
        <v>10</v>
      </c>
      <c r="J8" s="86">
        <f>B4+B6</f>
        <v>20</v>
      </c>
      <c r="K8" s="86">
        <f t="shared" si="0"/>
        <v>30</v>
      </c>
    </row>
    <row r="9" spans="1:11" x14ac:dyDescent="0.3">
      <c r="A9" s="4" t="s">
        <v>37</v>
      </c>
      <c r="B9" s="5">
        <v>30</v>
      </c>
      <c r="C9" s="5">
        <v>30</v>
      </c>
      <c r="D9" s="5">
        <v>35</v>
      </c>
      <c r="E9" s="5">
        <v>45</v>
      </c>
      <c r="H9" s="85" t="str">
        <f>'01_Справочник_Товары'!B9</f>
        <v>Ми-П</v>
      </c>
      <c r="I9" s="86">
        <f>B3</f>
        <v>10</v>
      </c>
      <c r="J9" s="86">
        <f>B4+B6</f>
        <v>20</v>
      </c>
      <c r="K9" s="86">
        <f t="shared" si="0"/>
        <v>30</v>
      </c>
    </row>
    <row r="10" spans="1:11" x14ac:dyDescent="0.3">
      <c r="A10" s="4" t="s">
        <v>38</v>
      </c>
      <c r="B10" s="5">
        <v>15</v>
      </c>
      <c r="C10" s="5">
        <v>15</v>
      </c>
      <c r="D10" s="5">
        <v>25</v>
      </c>
      <c r="E10" s="5">
        <v>30</v>
      </c>
    </row>
    <row r="11" spans="1:11" x14ac:dyDescent="0.3">
      <c r="A11" s="4" t="s">
        <v>39</v>
      </c>
      <c r="B11" s="5">
        <v>10</v>
      </c>
      <c r="C11" s="5">
        <v>10</v>
      </c>
      <c r="D11" s="5">
        <v>10</v>
      </c>
      <c r="E11" s="5">
        <v>10</v>
      </c>
    </row>
    <row r="12" spans="1:11" x14ac:dyDescent="0.3">
      <c r="A12" s="4" t="s">
        <v>40</v>
      </c>
      <c r="B12" s="5">
        <v>30</v>
      </c>
      <c r="C12" s="5">
        <v>30</v>
      </c>
      <c r="D12" s="5">
        <v>35</v>
      </c>
      <c r="E12" s="5">
        <v>45</v>
      </c>
    </row>
    <row r="13" spans="1:11" x14ac:dyDescent="0.3">
      <c r="A13" s="4" t="s">
        <v>41</v>
      </c>
      <c r="B13" s="5">
        <v>10</v>
      </c>
      <c r="C13" s="5">
        <v>10</v>
      </c>
      <c r="D13" s="5">
        <v>15</v>
      </c>
      <c r="E13" s="5">
        <v>15</v>
      </c>
    </row>
    <row r="15" spans="1:11" ht="17.399999999999999" x14ac:dyDescent="0.3">
      <c r="A15" s="67" t="s">
        <v>42</v>
      </c>
      <c r="B15" s="68"/>
      <c r="C15" s="68"/>
      <c r="D15" s="68"/>
      <c r="E15" s="68"/>
    </row>
    <row r="16" spans="1:11" x14ac:dyDescent="0.3">
      <c r="A16" s="8" t="s">
        <v>26</v>
      </c>
      <c r="B16" s="8" t="s">
        <v>27</v>
      </c>
      <c r="C16" s="8" t="s">
        <v>28</v>
      </c>
      <c r="D16" s="8" t="s">
        <v>29</v>
      </c>
      <c r="E16" s="8" t="s">
        <v>30</v>
      </c>
      <c r="H16" s="8" t="s">
        <v>2</v>
      </c>
      <c r="I16" s="8" t="s">
        <v>56</v>
      </c>
      <c r="J16" s="8" t="s">
        <v>66</v>
      </c>
      <c r="K16" s="8" t="s">
        <v>88</v>
      </c>
    </row>
    <row r="17" spans="1:11" x14ac:dyDescent="0.3">
      <c r="A17" s="4" t="s">
        <v>31</v>
      </c>
      <c r="B17" s="5">
        <v>1</v>
      </c>
      <c r="C17" s="5">
        <v>2</v>
      </c>
      <c r="D17" s="5">
        <v>3</v>
      </c>
      <c r="E17" s="5">
        <v>2</v>
      </c>
      <c r="H17" s="85" t="str">
        <f>'01_Справочник_Товары'!B3</f>
        <v>АК-10</v>
      </c>
      <c r="I17" s="86">
        <f>B17</f>
        <v>1</v>
      </c>
      <c r="J17" s="86">
        <f>+B18+B19+B20</f>
        <v>12</v>
      </c>
      <c r="K17" s="86">
        <f>I17+J17</f>
        <v>13</v>
      </c>
    </row>
    <row r="18" spans="1:11" x14ac:dyDescent="0.3">
      <c r="A18" s="4" t="s">
        <v>32</v>
      </c>
      <c r="B18" s="5">
        <v>3</v>
      </c>
      <c r="C18" s="5">
        <v>5</v>
      </c>
      <c r="D18" s="5">
        <v>10</v>
      </c>
      <c r="E18" s="5">
        <v>10</v>
      </c>
      <c r="H18" s="85" t="str">
        <f>'01_Справочник_Товары'!B4</f>
        <v>АК-15</v>
      </c>
      <c r="I18" s="86">
        <f>B17</f>
        <v>1</v>
      </c>
      <c r="J18" s="86">
        <f>B18+B19+B20</f>
        <v>12</v>
      </c>
      <c r="K18" s="86">
        <f t="shared" ref="K18:K23" si="1">I18+J18</f>
        <v>13</v>
      </c>
    </row>
    <row r="19" spans="1:11" x14ac:dyDescent="0.3">
      <c r="A19" s="4" t="s">
        <v>33</v>
      </c>
      <c r="B19" s="5">
        <v>8</v>
      </c>
      <c r="C19" s="5">
        <v>16</v>
      </c>
      <c r="D19" s="5">
        <v>21</v>
      </c>
      <c r="E19" s="5">
        <v>25</v>
      </c>
      <c r="H19" s="85" t="str">
        <f>'01_Справочник_Товары'!B5</f>
        <v>Г 1800</v>
      </c>
      <c r="I19" s="86">
        <f>C17</f>
        <v>2</v>
      </c>
      <c r="J19" s="86">
        <f>C18+C19+C20</f>
        <v>23</v>
      </c>
      <c r="K19" s="86">
        <f t="shared" si="1"/>
        <v>25</v>
      </c>
    </row>
    <row r="20" spans="1:11" x14ac:dyDescent="0.3">
      <c r="A20" s="4" t="s">
        <v>34</v>
      </c>
      <c r="B20" s="5">
        <v>1</v>
      </c>
      <c r="C20" s="5">
        <v>2</v>
      </c>
      <c r="D20" s="5">
        <v>3</v>
      </c>
      <c r="E20" s="5">
        <v>3</v>
      </c>
      <c r="H20" s="85" t="str">
        <f>'01_Справочник_Товары'!B6</f>
        <v>Г 3500</v>
      </c>
      <c r="I20" s="86">
        <f>D17</f>
        <v>3</v>
      </c>
      <c r="J20" s="86">
        <f>D18+D19+D20</f>
        <v>34</v>
      </c>
      <c r="K20" s="86">
        <f t="shared" si="1"/>
        <v>37</v>
      </c>
    </row>
    <row r="21" spans="1:11" x14ac:dyDescent="0.3">
      <c r="A21" s="4" t="s">
        <v>35</v>
      </c>
      <c r="B21" s="5">
        <v>1</v>
      </c>
      <c r="C21" s="5">
        <v>2</v>
      </c>
      <c r="D21" s="5">
        <v>3</v>
      </c>
      <c r="E21" s="5">
        <v>2</v>
      </c>
      <c r="H21" s="85" t="str">
        <f>'01_Справочник_Товары'!B7</f>
        <v>Г 800</v>
      </c>
      <c r="I21" s="86">
        <f>C17</f>
        <v>2</v>
      </c>
      <c r="J21" s="86">
        <f>C18+C19+C20</f>
        <v>23</v>
      </c>
      <c r="K21" s="86">
        <f t="shared" si="1"/>
        <v>25</v>
      </c>
    </row>
    <row r="22" spans="1:11" x14ac:dyDescent="0.3">
      <c r="A22" s="4" t="s">
        <v>36</v>
      </c>
      <c r="B22" s="5">
        <v>5</v>
      </c>
      <c r="C22" s="5">
        <v>8</v>
      </c>
      <c r="D22" s="5">
        <v>13</v>
      </c>
      <c r="E22" s="5">
        <v>15</v>
      </c>
      <c r="H22" s="85" t="str">
        <f>'01_Справочник_Товары'!B8</f>
        <v>Ми-К</v>
      </c>
      <c r="I22" s="86">
        <f>B17</f>
        <v>1</v>
      </c>
      <c r="J22" s="86">
        <f>B18+B20</f>
        <v>4</v>
      </c>
      <c r="K22" s="86">
        <f t="shared" si="1"/>
        <v>5</v>
      </c>
    </row>
    <row r="23" spans="1:11" x14ac:dyDescent="0.3">
      <c r="A23" s="4" t="s">
        <v>37</v>
      </c>
      <c r="B23" s="5">
        <v>15</v>
      </c>
      <c r="C23" s="5">
        <v>15</v>
      </c>
      <c r="D23" s="5">
        <v>18</v>
      </c>
      <c r="E23" s="5">
        <v>20</v>
      </c>
      <c r="H23" s="85" t="str">
        <f>'01_Справочник_Товары'!B9</f>
        <v>Ми-П</v>
      </c>
      <c r="I23" s="86">
        <f>B17</f>
        <v>1</v>
      </c>
      <c r="J23" s="86">
        <f>B18+B20</f>
        <v>4</v>
      </c>
      <c r="K23" s="86">
        <f t="shared" si="1"/>
        <v>5</v>
      </c>
    </row>
    <row r="24" spans="1:11" x14ac:dyDescent="0.3">
      <c r="A24" s="4" t="s">
        <v>38</v>
      </c>
      <c r="B24" s="5">
        <v>9</v>
      </c>
      <c r="C24" s="5">
        <v>11</v>
      </c>
      <c r="D24" s="5">
        <v>13</v>
      </c>
      <c r="E24" s="5">
        <v>15</v>
      </c>
    </row>
    <row r="25" spans="1:11" x14ac:dyDescent="0.3">
      <c r="A25" s="4" t="s">
        <v>39</v>
      </c>
      <c r="B25" s="5">
        <v>1</v>
      </c>
      <c r="C25" s="5">
        <v>2</v>
      </c>
      <c r="D25" s="5">
        <v>3</v>
      </c>
      <c r="E25" s="5">
        <v>2</v>
      </c>
    </row>
    <row r="26" spans="1:11" x14ac:dyDescent="0.3">
      <c r="A26" s="4" t="s">
        <v>40</v>
      </c>
      <c r="B26" s="5">
        <v>15</v>
      </c>
      <c r="C26" s="5">
        <v>15</v>
      </c>
      <c r="D26" s="5">
        <v>18</v>
      </c>
      <c r="E26" s="5">
        <v>20</v>
      </c>
    </row>
    <row r="27" spans="1:11" x14ac:dyDescent="0.3">
      <c r="A27" s="4" t="s">
        <v>41</v>
      </c>
      <c r="B27" s="5">
        <v>3</v>
      </c>
      <c r="C27" s="5">
        <v>4</v>
      </c>
      <c r="D27" s="5">
        <v>5</v>
      </c>
      <c r="E27" s="5">
        <v>5</v>
      </c>
    </row>
    <row r="29" spans="1:11" ht="17.399999999999999" x14ac:dyDescent="0.3">
      <c r="A29" s="67" t="s">
        <v>75</v>
      </c>
      <c r="B29" s="68"/>
      <c r="C29" s="68"/>
      <c r="D29" s="68"/>
      <c r="E29" s="68"/>
    </row>
    <row r="30" spans="1:11" x14ac:dyDescent="0.3">
      <c r="A30" s="8" t="s">
        <v>26</v>
      </c>
      <c r="B30" s="8" t="s">
        <v>27</v>
      </c>
      <c r="C30" s="8" t="s">
        <v>28</v>
      </c>
      <c r="D30" s="8" t="s">
        <v>29</v>
      </c>
      <c r="E30" s="8" t="s">
        <v>30</v>
      </c>
    </row>
    <row r="31" spans="1:11" x14ac:dyDescent="0.3">
      <c r="A31" s="4" t="s">
        <v>31</v>
      </c>
      <c r="B31" s="84">
        <f t="shared" ref="B31:E41" si="2">B17/B3</f>
        <v>0.1</v>
      </c>
      <c r="C31" s="84">
        <f t="shared" si="2"/>
        <v>0.2</v>
      </c>
      <c r="D31" s="84">
        <f t="shared" si="2"/>
        <v>0.3</v>
      </c>
      <c r="E31" s="84">
        <f t="shared" si="2"/>
        <v>0.2</v>
      </c>
    </row>
    <row r="32" spans="1:11" x14ac:dyDescent="0.3">
      <c r="A32" s="4" t="s">
        <v>32</v>
      </c>
      <c r="B32" s="84">
        <f t="shared" si="2"/>
        <v>0.3</v>
      </c>
      <c r="C32" s="84">
        <f t="shared" si="2"/>
        <v>0.5</v>
      </c>
      <c r="D32" s="84">
        <f t="shared" si="2"/>
        <v>0.66666666666666663</v>
      </c>
      <c r="E32" s="84">
        <f t="shared" si="2"/>
        <v>0.5</v>
      </c>
    </row>
    <row r="33" spans="1:5" x14ac:dyDescent="0.3">
      <c r="A33" s="4" t="s">
        <v>33</v>
      </c>
      <c r="B33" s="84">
        <f t="shared" si="2"/>
        <v>0.4</v>
      </c>
      <c r="C33" s="84">
        <f t="shared" si="2"/>
        <v>0.53333333333333333</v>
      </c>
      <c r="D33" s="84">
        <f t="shared" si="2"/>
        <v>0.6</v>
      </c>
      <c r="E33" s="84">
        <f t="shared" si="2"/>
        <v>0.55555555555555558</v>
      </c>
    </row>
    <row r="34" spans="1:5" x14ac:dyDescent="0.3">
      <c r="A34" s="4" t="s">
        <v>34</v>
      </c>
      <c r="B34" s="84">
        <f t="shared" si="2"/>
        <v>0.1</v>
      </c>
      <c r="C34" s="84">
        <f t="shared" si="2"/>
        <v>0.13333333333333333</v>
      </c>
      <c r="D34" s="84">
        <f t="shared" si="2"/>
        <v>0.12</v>
      </c>
      <c r="E34" s="84">
        <f t="shared" si="2"/>
        <v>0.1</v>
      </c>
    </row>
    <row r="35" spans="1:5" x14ac:dyDescent="0.3">
      <c r="A35" s="4" t="s">
        <v>35</v>
      </c>
      <c r="B35" s="84">
        <f t="shared" si="2"/>
        <v>0.1</v>
      </c>
      <c r="C35" s="84">
        <f t="shared" si="2"/>
        <v>0.2</v>
      </c>
      <c r="D35" s="84">
        <f t="shared" si="2"/>
        <v>0.3</v>
      </c>
      <c r="E35" s="84">
        <f t="shared" si="2"/>
        <v>0.2</v>
      </c>
    </row>
    <row r="36" spans="1:5" x14ac:dyDescent="0.3">
      <c r="A36" s="4" t="s">
        <v>36</v>
      </c>
      <c r="B36" s="84">
        <f t="shared" si="2"/>
        <v>0.5</v>
      </c>
      <c r="C36" s="84">
        <f t="shared" si="2"/>
        <v>0.53333333333333333</v>
      </c>
      <c r="D36" s="84">
        <f t="shared" si="2"/>
        <v>0.65</v>
      </c>
      <c r="E36" s="84">
        <f t="shared" si="2"/>
        <v>0.6</v>
      </c>
    </row>
    <row r="37" spans="1:5" x14ac:dyDescent="0.3">
      <c r="A37" s="4" t="s">
        <v>37</v>
      </c>
      <c r="B37" s="84">
        <f t="shared" si="2"/>
        <v>0.5</v>
      </c>
      <c r="C37" s="84">
        <f t="shared" si="2"/>
        <v>0.5</v>
      </c>
      <c r="D37" s="84">
        <f t="shared" si="2"/>
        <v>0.51428571428571423</v>
      </c>
      <c r="E37" s="84">
        <f t="shared" si="2"/>
        <v>0.44444444444444442</v>
      </c>
    </row>
    <row r="38" spans="1:5" x14ac:dyDescent="0.3">
      <c r="A38" s="4" t="s">
        <v>38</v>
      </c>
      <c r="B38" s="84">
        <f t="shared" si="2"/>
        <v>0.6</v>
      </c>
      <c r="C38" s="84">
        <f t="shared" si="2"/>
        <v>0.73333333333333328</v>
      </c>
      <c r="D38" s="84">
        <f t="shared" si="2"/>
        <v>0.52</v>
      </c>
      <c r="E38" s="84">
        <f t="shared" si="2"/>
        <v>0.5</v>
      </c>
    </row>
    <row r="39" spans="1:5" x14ac:dyDescent="0.3">
      <c r="A39" s="4" t="s">
        <v>39</v>
      </c>
      <c r="B39" s="84">
        <f t="shared" si="2"/>
        <v>0.1</v>
      </c>
      <c r="C39" s="84">
        <f t="shared" si="2"/>
        <v>0.2</v>
      </c>
      <c r="D39" s="84">
        <f t="shared" si="2"/>
        <v>0.3</v>
      </c>
      <c r="E39" s="84">
        <f t="shared" si="2"/>
        <v>0.2</v>
      </c>
    </row>
    <row r="40" spans="1:5" x14ac:dyDescent="0.3">
      <c r="A40" s="4" t="s">
        <v>40</v>
      </c>
      <c r="B40" s="84">
        <f t="shared" si="2"/>
        <v>0.5</v>
      </c>
      <c r="C40" s="84">
        <f t="shared" si="2"/>
        <v>0.5</v>
      </c>
      <c r="D40" s="84">
        <f t="shared" si="2"/>
        <v>0.51428571428571423</v>
      </c>
      <c r="E40" s="84">
        <f t="shared" si="2"/>
        <v>0.44444444444444442</v>
      </c>
    </row>
    <row r="41" spans="1:5" x14ac:dyDescent="0.3">
      <c r="A41" s="4" t="s">
        <v>41</v>
      </c>
      <c r="B41" s="84">
        <f t="shared" si="2"/>
        <v>0.3</v>
      </c>
      <c r="C41" s="84">
        <f t="shared" si="2"/>
        <v>0.4</v>
      </c>
      <c r="D41" s="84">
        <f t="shared" si="2"/>
        <v>0.33333333333333331</v>
      </c>
      <c r="E41" s="84">
        <f t="shared" si="2"/>
        <v>0.33333333333333331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BBE4-4813-40E7-ACDB-F57FDB63E89A}">
  <sheetPr codeName="Лист14"/>
  <dimension ref="A1:P162"/>
  <sheetViews>
    <sheetView workbookViewId="0">
      <selection activeCell="K151" sqref="K151"/>
    </sheetView>
  </sheetViews>
  <sheetFormatPr defaultRowHeight="14.4" x14ac:dyDescent="0.3"/>
  <cols>
    <col min="1" max="1" width="10.109375" bestFit="1" customWidth="1"/>
    <col min="3" max="9" width="10.77734375" customWidth="1"/>
    <col min="10" max="10" width="15.109375" bestFit="1" customWidth="1"/>
    <col min="11" max="11" width="10.6640625" bestFit="1" customWidth="1"/>
  </cols>
  <sheetData>
    <row r="1" spans="1:10" ht="27.6" x14ac:dyDescent="0.3">
      <c r="A1" s="31" t="s">
        <v>46</v>
      </c>
      <c r="B1" s="31" t="s">
        <v>74</v>
      </c>
      <c r="C1" s="31" t="s">
        <v>81</v>
      </c>
      <c r="D1" s="31" t="s">
        <v>49</v>
      </c>
      <c r="E1" s="31" t="s">
        <v>82</v>
      </c>
      <c r="F1" s="31" t="s">
        <v>83</v>
      </c>
      <c r="G1" s="31" t="s">
        <v>84</v>
      </c>
      <c r="H1" s="31" t="s">
        <v>85</v>
      </c>
      <c r="I1" s="31" t="s">
        <v>86</v>
      </c>
      <c r="J1" s="31" t="s">
        <v>44</v>
      </c>
    </row>
    <row r="2" spans="1:10" hidden="1" x14ac:dyDescent="0.3">
      <c r="A2" s="81">
        <v>46241</v>
      </c>
      <c r="B2" t="s">
        <v>78</v>
      </c>
      <c r="C2">
        <v>10</v>
      </c>
      <c r="D2">
        <v>0</v>
      </c>
      <c r="E2">
        <v>1</v>
      </c>
      <c r="F2">
        <v>12</v>
      </c>
      <c r="G2">
        <v>10</v>
      </c>
      <c r="H2">
        <v>0</v>
      </c>
      <c r="I2">
        <v>10</v>
      </c>
    </row>
    <row r="3" spans="1:10" hidden="1" x14ac:dyDescent="0.3">
      <c r="A3" s="81">
        <v>46242</v>
      </c>
      <c r="B3" t="s">
        <v>71</v>
      </c>
      <c r="C3">
        <v>9</v>
      </c>
      <c r="D3">
        <v>0</v>
      </c>
      <c r="E3">
        <v>2</v>
      </c>
      <c r="F3">
        <v>23</v>
      </c>
      <c r="G3">
        <v>18</v>
      </c>
      <c r="H3">
        <v>0</v>
      </c>
      <c r="I3">
        <v>18</v>
      </c>
    </row>
    <row r="4" spans="1:10" hidden="1" x14ac:dyDescent="0.3">
      <c r="A4" s="81">
        <v>46242</v>
      </c>
      <c r="B4" t="s">
        <v>72</v>
      </c>
      <c r="C4">
        <v>2</v>
      </c>
      <c r="D4">
        <v>2</v>
      </c>
      <c r="E4">
        <v>3</v>
      </c>
      <c r="F4">
        <v>34</v>
      </c>
      <c r="G4">
        <v>6</v>
      </c>
      <c r="H4">
        <v>68</v>
      </c>
      <c r="I4">
        <v>74</v>
      </c>
    </row>
    <row r="5" spans="1:10" hidden="1" x14ac:dyDescent="0.3">
      <c r="A5" s="81">
        <v>46242</v>
      </c>
      <c r="B5" t="s">
        <v>78</v>
      </c>
      <c r="C5">
        <v>0</v>
      </c>
      <c r="D5">
        <v>3</v>
      </c>
      <c r="E5">
        <v>1</v>
      </c>
      <c r="F5">
        <v>12</v>
      </c>
      <c r="G5">
        <v>0</v>
      </c>
      <c r="H5">
        <v>36</v>
      </c>
      <c r="I5">
        <v>36</v>
      </c>
    </row>
    <row r="6" spans="1:10" hidden="1" x14ac:dyDescent="0.3">
      <c r="A6" s="81">
        <v>46243</v>
      </c>
      <c r="B6" t="s">
        <v>71</v>
      </c>
      <c r="C6">
        <v>10</v>
      </c>
      <c r="D6">
        <v>0</v>
      </c>
      <c r="E6">
        <v>2</v>
      </c>
      <c r="F6">
        <v>23</v>
      </c>
      <c r="G6">
        <v>20</v>
      </c>
      <c r="H6">
        <v>0</v>
      </c>
      <c r="I6">
        <v>20</v>
      </c>
    </row>
    <row r="7" spans="1:10" hidden="1" x14ac:dyDescent="0.3">
      <c r="A7" s="81">
        <v>46243</v>
      </c>
      <c r="B7" t="s">
        <v>72</v>
      </c>
      <c r="C7">
        <v>2</v>
      </c>
      <c r="D7">
        <v>0</v>
      </c>
      <c r="E7">
        <v>3</v>
      </c>
      <c r="F7">
        <v>34</v>
      </c>
      <c r="G7">
        <v>6</v>
      </c>
      <c r="H7">
        <v>0</v>
      </c>
      <c r="I7">
        <v>6</v>
      </c>
    </row>
    <row r="8" spans="1:10" hidden="1" x14ac:dyDescent="0.3">
      <c r="A8" s="81">
        <v>46243</v>
      </c>
      <c r="B8" t="s">
        <v>78</v>
      </c>
      <c r="C8">
        <v>10</v>
      </c>
      <c r="D8">
        <v>5</v>
      </c>
      <c r="E8">
        <v>1</v>
      </c>
      <c r="F8">
        <v>12</v>
      </c>
      <c r="G8">
        <v>10</v>
      </c>
      <c r="H8">
        <v>60</v>
      </c>
      <c r="I8">
        <v>70</v>
      </c>
    </row>
    <row r="9" spans="1:10" hidden="1" x14ac:dyDescent="0.3">
      <c r="A9" s="81">
        <v>46244</v>
      </c>
      <c r="B9" t="s">
        <v>71</v>
      </c>
      <c r="C9">
        <v>0</v>
      </c>
      <c r="D9">
        <v>6</v>
      </c>
      <c r="E9">
        <v>2</v>
      </c>
      <c r="F9">
        <v>23</v>
      </c>
      <c r="G9">
        <v>0</v>
      </c>
      <c r="H9">
        <v>138</v>
      </c>
      <c r="I9">
        <v>138</v>
      </c>
    </row>
    <row r="10" spans="1:10" hidden="1" x14ac:dyDescent="0.3">
      <c r="A10" s="81">
        <v>46244</v>
      </c>
      <c r="B10" t="s">
        <v>72</v>
      </c>
      <c r="C10">
        <v>0</v>
      </c>
      <c r="D10">
        <v>2</v>
      </c>
      <c r="E10">
        <v>3</v>
      </c>
      <c r="F10">
        <v>34</v>
      </c>
      <c r="G10">
        <v>0</v>
      </c>
      <c r="H10">
        <v>68</v>
      </c>
      <c r="I10">
        <v>68</v>
      </c>
    </row>
    <row r="11" spans="1:10" hidden="1" x14ac:dyDescent="0.3">
      <c r="A11" s="81">
        <v>46244</v>
      </c>
      <c r="B11" t="s">
        <v>78</v>
      </c>
      <c r="C11">
        <v>0</v>
      </c>
      <c r="D11">
        <v>2</v>
      </c>
      <c r="E11">
        <v>1</v>
      </c>
      <c r="F11">
        <v>12</v>
      </c>
      <c r="G11">
        <v>0</v>
      </c>
      <c r="H11">
        <v>24</v>
      </c>
      <c r="I11">
        <v>24</v>
      </c>
    </row>
    <row r="12" spans="1:10" hidden="1" x14ac:dyDescent="0.3">
      <c r="A12" s="81">
        <v>46245</v>
      </c>
      <c r="B12" t="s">
        <v>71</v>
      </c>
      <c r="C12">
        <v>0</v>
      </c>
      <c r="D12">
        <v>2</v>
      </c>
      <c r="E12">
        <v>2</v>
      </c>
      <c r="F12">
        <v>23</v>
      </c>
      <c r="G12">
        <v>0</v>
      </c>
      <c r="H12">
        <v>46</v>
      </c>
      <c r="I12">
        <v>46</v>
      </c>
    </row>
    <row r="13" spans="1:10" hidden="1" x14ac:dyDescent="0.3">
      <c r="A13" s="81">
        <v>46245</v>
      </c>
      <c r="B13" t="s">
        <v>72</v>
      </c>
      <c r="C13">
        <v>10</v>
      </c>
      <c r="D13">
        <v>3</v>
      </c>
      <c r="E13">
        <v>3</v>
      </c>
      <c r="F13">
        <v>34</v>
      </c>
      <c r="G13">
        <v>30</v>
      </c>
      <c r="H13">
        <v>102</v>
      </c>
      <c r="I13">
        <v>132</v>
      </c>
    </row>
    <row r="14" spans="1:10" hidden="1" x14ac:dyDescent="0.3">
      <c r="A14" s="81">
        <v>46245</v>
      </c>
      <c r="B14" t="s">
        <v>78</v>
      </c>
      <c r="C14">
        <v>0</v>
      </c>
      <c r="D14">
        <v>1</v>
      </c>
      <c r="E14">
        <v>1</v>
      </c>
      <c r="F14">
        <v>12</v>
      </c>
      <c r="G14">
        <v>0</v>
      </c>
      <c r="H14">
        <v>12</v>
      </c>
      <c r="I14">
        <v>12</v>
      </c>
    </row>
    <row r="15" spans="1:10" hidden="1" x14ac:dyDescent="0.3">
      <c r="A15" s="81">
        <v>46246</v>
      </c>
      <c r="B15" t="s">
        <v>71</v>
      </c>
      <c r="C15">
        <v>0</v>
      </c>
      <c r="D15">
        <v>4</v>
      </c>
      <c r="E15">
        <v>2</v>
      </c>
      <c r="F15">
        <v>23</v>
      </c>
      <c r="G15">
        <v>0</v>
      </c>
      <c r="H15">
        <v>92</v>
      </c>
      <c r="I15">
        <v>92</v>
      </c>
    </row>
    <row r="16" spans="1:10" hidden="1" x14ac:dyDescent="0.3">
      <c r="A16" s="81">
        <v>46246</v>
      </c>
      <c r="B16" t="s">
        <v>72</v>
      </c>
      <c r="C16">
        <v>0</v>
      </c>
      <c r="D16">
        <v>1</v>
      </c>
      <c r="E16">
        <v>3</v>
      </c>
      <c r="F16">
        <v>34</v>
      </c>
      <c r="G16">
        <v>0</v>
      </c>
      <c r="H16">
        <v>34</v>
      </c>
      <c r="I16">
        <v>34</v>
      </c>
    </row>
    <row r="17" spans="1:9" hidden="1" x14ac:dyDescent="0.3">
      <c r="A17" s="81">
        <v>46246</v>
      </c>
      <c r="B17" t="s">
        <v>78</v>
      </c>
      <c r="C17">
        <v>0</v>
      </c>
      <c r="D17">
        <v>2</v>
      </c>
      <c r="E17">
        <v>1</v>
      </c>
      <c r="F17">
        <v>12</v>
      </c>
      <c r="G17">
        <v>0</v>
      </c>
      <c r="H17">
        <v>24</v>
      </c>
      <c r="I17">
        <v>24</v>
      </c>
    </row>
    <row r="18" spans="1:9" hidden="1" x14ac:dyDescent="0.3">
      <c r="A18" s="81">
        <v>46247</v>
      </c>
      <c r="B18" t="s">
        <v>71</v>
      </c>
      <c r="C18">
        <v>10</v>
      </c>
      <c r="D18">
        <v>6</v>
      </c>
      <c r="E18">
        <v>2</v>
      </c>
      <c r="F18">
        <v>23</v>
      </c>
      <c r="G18">
        <v>20</v>
      </c>
      <c r="H18">
        <v>138</v>
      </c>
      <c r="I18">
        <v>158</v>
      </c>
    </row>
    <row r="19" spans="1:9" hidden="1" x14ac:dyDescent="0.3">
      <c r="A19" s="81">
        <v>46247</v>
      </c>
      <c r="B19" t="s">
        <v>72</v>
      </c>
      <c r="C19">
        <v>0</v>
      </c>
      <c r="D19">
        <v>1</v>
      </c>
      <c r="E19">
        <v>3</v>
      </c>
      <c r="F19">
        <v>34</v>
      </c>
      <c r="G19">
        <v>0</v>
      </c>
      <c r="H19">
        <v>34</v>
      </c>
      <c r="I19">
        <v>34</v>
      </c>
    </row>
    <row r="20" spans="1:9" hidden="1" x14ac:dyDescent="0.3">
      <c r="A20" s="81">
        <v>46247</v>
      </c>
      <c r="B20" t="s">
        <v>78</v>
      </c>
      <c r="C20">
        <v>10</v>
      </c>
      <c r="D20">
        <v>4</v>
      </c>
      <c r="E20">
        <v>1</v>
      </c>
      <c r="F20">
        <v>12</v>
      </c>
      <c r="G20">
        <v>10</v>
      </c>
      <c r="H20">
        <v>48</v>
      </c>
      <c r="I20">
        <v>58</v>
      </c>
    </row>
    <row r="21" spans="1:9" hidden="1" x14ac:dyDescent="0.3">
      <c r="A21" s="81">
        <v>46248</v>
      </c>
      <c r="B21" t="s">
        <v>71</v>
      </c>
      <c r="C21">
        <v>0</v>
      </c>
      <c r="D21">
        <v>9</v>
      </c>
      <c r="E21">
        <v>2</v>
      </c>
      <c r="F21">
        <v>23</v>
      </c>
      <c r="G21">
        <v>0</v>
      </c>
      <c r="H21">
        <v>207</v>
      </c>
      <c r="I21">
        <v>207</v>
      </c>
    </row>
    <row r="22" spans="1:9" hidden="1" x14ac:dyDescent="0.3">
      <c r="A22" s="81">
        <v>46248</v>
      </c>
      <c r="B22" t="s">
        <v>72</v>
      </c>
      <c r="C22">
        <v>0</v>
      </c>
      <c r="D22">
        <v>3</v>
      </c>
      <c r="E22">
        <v>3</v>
      </c>
      <c r="F22">
        <v>34</v>
      </c>
      <c r="G22">
        <v>0</v>
      </c>
      <c r="H22">
        <v>102</v>
      </c>
      <c r="I22">
        <v>102</v>
      </c>
    </row>
    <row r="23" spans="1:9" hidden="1" x14ac:dyDescent="0.3">
      <c r="A23" s="81">
        <v>46248</v>
      </c>
      <c r="B23" t="s">
        <v>78</v>
      </c>
      <c r="C23">
        <v>0</v>
      </c>
      <c r="D23">
        <v>1</v>
      </c>
      <c r="E23">
        <v>1</v>
      </c>
      <c r="F23">
        <v>12</v>
      </c>
      <c r="G23">
        <v>0</v>
      </c>
      <c r="H23">
        <v>12</v>
      </c>
      <c r="I23">
        <v>12</v>
      </c>
    </row>
    <row r="24" spans="1:9" hidden="1" x14ac:dyDescent="0.3">
      <c r="A24" s="81">
        <v>46249</v>
      </c>
      <c r="B24" t="s">
        <v>71</v>
      </c>
      <c r="C24">
        <v>10</v>
      </c>
      <c r="D24">
        <v>6</v>
      </c>
      <c r="E24">
        <v>2</v>
      </c>
      <c r="F24">
        <v>23</v>
      </c>
      <c r="G24">
        <v>20</v>
      </c>
      <c r="H24">
        <v>138</v>
      </c>
      <c r="I24">
        <v>158</v>
      </c>
    </row>
    <row r="25" spans="1:9" hidden="1" x14ac:dyDescent="0.3">
      <c r="A25" s="81">
        <v>46249</v>
      </c>
      <c r="B25" t="s">
        <v>72</v>
      </c>
      <c r="C25">
        <v>10</v>
      </c>
      <c r="D25">
        <v>0</v>
      </c>
      <c r="E25">
        <v>3</v>
      </c>
      <c r="F25">
        <v>34</v>
      </c>
      <c r="G25">
        <v>30</v>
      </c>
      <c r="H25">
        <v>0</v>
      </c>
      <c r="I25">
        <v>30</v>
      </c>
    </row>
    <row r="26" spans="1:9" hidden="1" x14ac:dyDescent="0.3">
      <c r="A26" s="81">
        <v>46249</v>
      </c>
      <c r="B26" t="s">
        <v>78</v>
      </c>
      <c r="C26">
        <v>5</v>
      </c>
      <c r="D26">
        <v>8</v>
      </c>
      <c r="E26">
        <v>1</v>
      </c>
      <c r="F26">
        <v>12</v>
      </c>
      <c r="G26">
        <v>5</v>
      </c>
      <c r="H26">
        <v>96</v>
      </c>
      <c r="I26">
        <v>101</v>
      </c>
    </row>
    <row r="27" spans="1:9" hidden="1" x14ac:dyDescent="0.3">
      <c r="A27" s="81">
        <v>46250</v>
      </c>
      <c r="B27" t="s">
        <v>71</v>
      </c>
      <c r="C27">
        <v>10</v>
      </c>
      <c r="D27">
        <v>5</v>
      </c>
      <c r="E27">
        <v>2</v>
      </c>
      <c r="F27">
        <v>23</v>
      </c>
      <c r="G27">
        <v>20</v>
      </c>
      <c r="H27">
        <v>115</v>
      </c>
      <c r="I27">
        <v>135</v>
      </c>
    </row>
    <row r="28" spans="1:9" hidden="1" x14ac:dyDescent="0.3">
      <c r="A28" s="81">
        <v>46250</v>
      </c>
      <c r="B28" t="s">
        <v>78</v>
      </c>
      <c r="C28">
        <v>0</v>
      </c>
      <c r="D28">
        <v>4</v>
      </c>
      <c r="E28">
        <v>1</v>
      </c>
      <c r="F28">
        <v>12</v>
      </c>
      <c r="G28">
        <v>0</v>
      </c>
      <c r="H28">
        <v>48</v>
      </c>
      <c r="I28">
        <v>48</v>
      </c>
    </row>
    <row r="29" spans="1:9" hidden="1" x14ac:dyDescent="0.3">
      <c r="A29" s="81">
        <v>46251</v>
      </c>
      <c r="B29" t="s">
        <v>71</v>
      </c>
      <c r="C29">
        <v>0</v>
      </c>
      <c r="D29">
        <v>4</v>
      </c>
      <c r="E29">
        <v>2</v>
      </c>
      <c r="F29">
        <v>23</v>
      </c>
      <c r="G29">
        <v>0</v>
      </c>
      <c r="H29">
        <v>92</v>
      </c>
      <c r="I29">
        <v>92</v>
      </c>
    </row>
    <row r="30" spans="1:9" hidden="1" x14ac:dyDescent="0.3">
      <c r="A30" s="81">
        <v>46251</v>
      </c>
      <c r="B30" t="s">
        <v>78</v>
      </c>
      <c r="C30">
        <v>0</v>
      </c>
      <c r="D30">
        <v>4</v>
      </c>
      <c r="E30">
        <v>1</v>
      </c>
      <c r="F30">
        <v>12</v>
      </c>
      <c r="G30">
        <v>0</v>
      </c>
      <c r="H30">
        <v>48</v>
      </c>
      <c r="I30">
        <v>48</v>
      </c>
    </row>
    <row r="31" spans="1:9" hidden="1" x14ac:dyDescent="0.3">
      <c r="A31" s="81">
        <v>46252</v>
      </c>
      <c r="B31" t="s">
        <v>71</v>
      </c>
      <c r="C31">
        <v>5</v>
      </c>
      <c r="D31">
        <v>2</v>
      </c>
      <c r="E31">
        <v>2</v>
      </c>
      <c r="F31">
        <v>23</v>
      </c>
      <c r="G31">
        <v>10</v>
      </c>
      <c r="H31">
        <v>46</v>
      </c>
      <c r="I31">
        <v>56</v>
      </c>
    </row>
    <row r="32" spans="1:9" hidden="1" x14ac:dyDescent="0.3">
      <c r="A32" s="81">
        <v>46252</v>
      </c>
      <c r="B32" t="s">
        <v>72</v>
      </c>
      <c r="C32">
        <v>0</v>
      </c>
      <c r="D32">
        <v>1</v>
      </c>
      <c r="E32">
        <v>3</v>
      </c>
      <c r="F32">
        <v>34</v>
      </c>
      <c r="G32">
        <v>0</v>
      </c>
      <c r="H32">
        <v>34</v>
      </c>
      <c r="I32">
        <v>34</v>
      </c>
    </row>
    <row r="33" spans="1:9" hidden="1" x14ac:dyDescent="0.3">
      <c r="A33" s="81">
        <v>46252</v>
      </c>
      <c r="B33" t="s">
        <v>73</v>
      </c>
      <c r="C33">
        <v>10</v>
      </c>
      <c r="D33">
        <v>0</v>
      </c>
      <c r="E33">
        <v>2</v>
      </c>
      <c r="F33">
        <v>23</v>
      </c>
      <c r="G33">
        <v>20</v>
      </c>
      <c r="H33">
        <v>0</v>
      </c>
      <c r="I33">
        <v>20</v>
      </c>
    </row>
    <row r="34" spans="1:9" hidden="1" x14ac:dyDescent="0.3">
      <c r="A34" s="81">
        <v>46252</v>
      </c>
      <c r="B34" t="s">
        <v>78</v>
      </c>
      <c r="C34">
        <v>10</v>
      </c>
      <c r="D34">
        <v>4</v>
      </c>
      <c r="E34">
        <v>1</v>
      </c>
      <c r="F34">
        <v>12</v>
      </c>
      <c r="G34">
        <v>10</v>
      </c>
      <c r="H34">
        <v>48</v>
      </c>
      <c r="I34">
        <v>58</v>
      </c>
    </row>
    <row r="35" spans="1:9" hidden="1" x14ac:dyDescent="0.3">
      <c r="A35" s="81">
        <v>46253</v>
      </c>
      <c r="B35" t="s">
        <v>71</v>
      </c>
      <c r="C35">
        <v>15</v>
      </c>
      <c r="D35">
        <v>11</v>
      </c>
      <c r="E35">
        <v>2</v>
      </c>
      <c r="F35">
        <v>23</v>
      </c>
      <c r="G35">
        <v>30</v>
      </c>
      <c r="H35">
        <v>253</v>
      </c>
      <c r="I35">
        <v>283</v>
      </c>
    </row>
    <row r="36" spans="1:9" hidden="1" x14ac:dyDescent="0.3">
      <c r="A36" s="81">
        <v>46253</v>
      </c>
      <c r="B36" t="s">
        <v>72</v>
      </c>
      <c r="C36">
        <v>0</v>
      </c>
      <c r="D36">
        <v>1</v>
      </c>
      <c r="E36">
        <v>3</v>
      </c>
      <c r="F36">
        <v>34</v>
      </c>
      <c r="G36">
        <v>0</v>
      </c>
      <c r="H36">
        <v>34</v>
      </c>
      <c r="I36">
        <v>34</v>
      </c>
    </row>
    <row r="37" spans="1:9" hidden="1" x14ac:dyDescent="0.3">
      <c r="A37" s="81">
        <v>46253</v>
      </c>
      <c r="B37" t="s">
        <v>73</v>
      </c>
      <c r="C37">
        <v>0</v>
      </c>
      <c r="D37">
        <v>2</v>
      </c>
      <c r="E37">
        <v>2</v>
      </c>
      <c r="F37">
        <v>23</v>
      </c>
      <c r="G37">
        <v>0</v>
      </c>
      <c r="H37">
        <v>46</v>
      </c>
      <c r="I37">
        <v>46</v>
      </c>
    </row>
    <row r="38" spans="1:9" hidden="1" x14ac:dyDescent="0.3">
      <c r="A38" s="81">
        <v>46253</v>
      </c>
      <c r="B38" t="s">
        <v>78</v>
      </c>
      <c r="C38">
        <v>10</v>
      </c>
      <c r="D38">
        <v>1</v>
      </c>
      <c r="E38">
        <v>1</v>
      </c>
      <c r="F38">
        <v>12</v>
      </c>
      <c r="G38">
        <v>10</v>
      </c>
      <c r="H38">
        <v>12</v>
      </c>
      <c r="I38">
        <v>22</v>
      </c>
    </row>
    <row r="39" spans="1:9" hidden="1" x14ac:dyDescent="0.3">
      <c r="A39" s="81">
        <v>46254</v>
      </c>
      <c r="B39" t="s">
        <v>69</v>
      </c>
      <c r="C39">
        <v>5</v>
      </c>
      <c r="D39">
        <v>0</v>
      </c>
      <c r="E39">
        <v>1</v>
      </c>
      <c r="F39">
        <v>12</v>
      </c>
      <c r="G39">
        <v>5</v>
      </c>
      <c r="H39">
        <v>0</v>
      </c>
      <c r="I39">
        <v>5</v>
      </c>
    </row>
    <row r="40" spans="1:9" hidden="1" x14ac:dyDescent="0.3">
      <c r="A40" s="81">
        <v>46254</v>
      </c>
      <c r="B40" t="s">
        <v>70</v>
      </c>
      <c r="C40">
        <v>28</v>
      </c>
      <c r="D40">
        <v>0</v>
      </c>
      <c r="E40">
        <v>1</v>
      </c>
      <c r="F40">
        <v>12</v>
      </c>
      <c r="G40">
        <v>28</v>
      </c>
      <c r="H40">
        <v>0</v>
      </c>
      <c r="I40">
        <v>28</v>
      </c>
    </row>
    <row r="41" spans="1:9" hidden="1" x14ac:dyDescent="0.3">
      <c r="A41" s="81">
        <v>46254</v>
      </c>
      <c r="B41" t="s">
        <v>71</v>
      </c>
      <c r="C41">
        <v>0</v>
      </c>
      <c r="D41">
        <v>6</v>
      </c>
      <c r="E41">
        <v>2</v>
      </c>
      <c r="F41">
        <v>23</v>
      </c>
      <c r="G41">
        <v>0</v>
      </c>
      <c r="H41">
        <v>138</v>
      </c>
      <c r="I41">
        <v>138</v>
      </c>
    </row>
    <row r="42" spans="1:9" hidden="1" x14ac:dyDescent="0.3">
      <c r="A42" s="81">
        <v>46254</v>
      </c>
      <c r="B42" t="s">
        <v>73</v>
      </c>
      <c r="C42">
        <v>0</v>
      </c>
      <c r="D42">
        <v>2</v>
      </c>
      <c r="E42">
        <v>2</v>
      </c>
      <c r="F42">
        <v>23</v>
      </c>
      <c r="G42">
        <v>0</v>
      </c>
      <c r="H42">
        <v>46</v>
      </c>
      <c r="I42">
        <v>46</v>
      </c>
    </row>
    <row r="43" spans="1:9" hidden="1" x14ac:dyDescent="0.3">
      <c r="A43" s="81">
        <v>46254</v>
      </c>
      <c r="B43" t="s">
        <v>78</v>
      </c>
      <c r="C43">
        <v>0</v>
      </c>
      <c r="D43">
        <v>1</v>
      </c>
      <c r="E43">
        <v>1</v>
      </c>
      <c r="F43">
        <v>12</v>
      </c>
      <c r="G43">
        <v>0</v>
      </c>
      <c r="H43">
        <v>12</v>
      </c>
      <c r="I43">
        <v>12</v>
      </c>
    </row>
    <row r="44" spans="1:9" hidden="1" x14ac:dyDescent="0.3">
      <c r="A44" s="81">
        <v>46255</v>
      </c>
      <c r="B44" t="s">
        <v>70</v>
      </c>
      <c r="C44">
        <v>0</v>
      </c>
      <c r="D44">
        <v>1</v>
      </c>
      <c r="E44">
        <v>1</v>
      </c>
      <c r="F44">
        <v>12</v>
      </c>
      <c r="G44">
        <v>0</v>
      </c>
      <c r="H44">
        <v>12</v>
      </c>
      <c r="I44">
        <v>12</v>
      </c>
    </row>
    <row r="45" spans="1:9" hidden="1" x14ac:dyDescent="0.3">
      <c r="A45" s="81">
        <v>46255</v>
      </c>
      <c r="B45" t="s">
        <v>71</v>
      </c>
      <c r="C45">
        <v>0</v>
      </c>
      <c r="D45">
        <v>2</v>
      </c>
      <c r="E45">
        <v>2</v>
      </c>
      <c r="F45">
        <v>23</v>
      </c>
      <c r="G45">
        <v>0</v>
      </c>
      <c r="H45">
        <v>46</v>
      </c>
      <c r="I45">
        <v>46</v>
      </c>
    </row>
    <row r="46" spans="1:9" hidden="1" x14ac:dyDescent="0.3">
      <c r="A46" s="81">
        <v>46255</v>
      </c>
      <c r="B46" t="s">
        <v>73</v>
      </c>
      <c r="C46">
        <v>0</v>
      </c>
      <c r="D46">
        <v>1</v>
      </c>
      <c r="E46">
        <v>2</v>
      </c>
      <c r="F46">
        <v>23</v>
      </c>
      <c r="G46">
        <v>0</v>
      </c>
      <c r="H46">
        <v>23</v>
      </c>
      <c r="I46">
        <v>23</v>
      </c>
    </row>
    <row r="47" spans="1:9" hidden="1" x14ac:dyDescent="0.3">
      <c r="A47" s="81">
        <v>46256</v>
      </c>
      <c r="B47" t="s">
        <v>70</v>
      </c>
      <c r="C47">
        <v>0</v>
      </c>
      <c r="D47">
        <v>7</v>
      </c>
      <c r="E47">
        <v>1</v>
      </c>
      <c r="F47">
        <v>12</v>
      </c>
      <c r="G47">
        <v>0</v>
      </c>
      <c r="H47">
        <v>84</v>
      </c>
      <c r="I47">
        <v>84</v>
      </c>
    </row>
    <row r="48" spans="1:9" hidden="1" x14ac:dyDescent="0.3">
      <c r="A48" s="81">
        <v>46256</v>
      </c>
      <c r="B48" t="s">
        <v>71</v>
      </c>
      <c r="C48">
        <v>15</v>
      </c>
      <c r="D48">
        <v>6</v>
      </c>
      <c r="E48">
        <v>2</v>
      </c>
      <c r="F48">
        <v>23</v>
      </c>
      <c r="G48">
        <v>30</v>
      </c>
      <c r="H48">
        <v>138</v>
      </c>
      <c r="I48">
        <v>168</v>
      </c>
    </row>
    <row r="49" spans="1:9" hidden="1" x14ac:dyDescent="0.3">
      <c r="A49" s="81">
        <v>46256</v>
      </c>
      <c r="B49" t="s">
        <v>73</v>
      </c>
      <c r="C49">
        <v>10</v>
      </c>
      <c r="D49">
        <v>5</v>
      </c>
      <c r="E49">
        <v>2</v>
      </c>
      <c r="F49">
        <v>23</v>
      </c>
      <c r="G49">
        <v>20</v>
      </c>
      <c r="H49">
        <v>115</v>
      </c>
      <c r="I49">
        <v>135</v>
      </c>
    </row>
    <row r="50" spans="1:9" hidden="1" x14ac:dyDescent="0.3">
      <c r="A50" s="81">
        <v>46256</v>
      </c>
      <c r="B50" t="s">
        <v>78</v>
      </c>
      <c r="C50">
        <v>0</v>
      </c>
      <c r="D50">
        <v>1</v>
      </c>
      <c r="E50">
        <v>1</v>
      </c>
      <c r="F50">
        <v>12</v>
      </c>
      <c r="G50">
        <v>0</v>
      </c>
      <c r="H50">
        <v>12</v>
      </c>
      <c r="I50">
        <v>12</v>
      </c>
    </row>
    <row r="51" spans="1:9" hidden="1" x14ac:dyDescent="0.3">
      <c r="A51" s="81">
        <v>46257</v>
      </c>
      <c r="B51" t="s">
        <v>69</v>
      </c>
      <c r="C51">
        <v>0</v>
      </c>
      <c r="D51">
        <v>1</v>
      </c>
      <c r="E51">
        <v>1</v>
      </c>
      <c r="F51">
        <v>12</v>
      </c>
      <c r="G51">
        <v>0</v>
      </c>
      <c r="H51">
        <v>12</v>
      </c>
      <c r="I51">
        <v>12</v>
      </c>
    </row>
    <row r="52" spans="1:9" hidden="1" x14ac:dyDescent="0.3">
      <c r="A52" s="81">
        <v>46257</v>
      </c>
      <c r="B52" t="s">
        <v>70</v>
      </c>
      <c r="C52">
        <v>0</v>
      </c>
      <c r="D52">
        <v>1</v>
      </c>
      <c r="E52">
        <v>1</v>
      </c>
      <c r="F52">
        <v>12</v>
      </c>
      <c r="G52">
        <v>0</v>
      </c>
      <c r="H52">
        <v>12</v>
      </c>
      <c r="I52">
        <v>12</v>
      </c>
    </row>
    <row r="53" spans="1:9" hidden="1" x14ac:dyDescent="0.3">
      <c r="A53" s="81">
        <v>46257</v>
      </c>
      <c r="B53" t="s">
        <v>71</v>
      </c>
      <c r="C53">
        <v>0</v>
      </c>
      <c r="D53">
        <v>7</v>
      </c>
      <c r="E53">
        <v>2</v>
      </c>
      <c r="F53">
        <v>23</v>
      </c>
      <c r="G53">
        <v>0</v>
      </c>
      <c r="H53">
        <v>161</v>
      </c>
      <c r="I53">
        <v>161</v>
      </c>
    </row>
    <row r="54" spans="1:9" hidden="1" x14ac:dyDescent="0.3">
      <c r="A54" s="81">
        <v>46257</v>
      </c>
      <c r="B54" t="s">
        <v>73</v>
      </c>
      <c r="C54">
        <v>0</v>
      </c>
      <c r="D54">
        <v>4</v>
      </c>
      <c r="E54">
        <v>2</v>
      </c>
      <c r="F54">
        <v>23</v>
      </c>
      <c r="G54">
        <v>0</v>
      </c>
      <c r="H54">
        <v>92</v>
      </c>
      <c r="I54">
        <v>92</v>
      </c>
    </row>
    <row r="55" spans="1:9" hidden="1" x14ac:dyDescent="0.3">
      <c r="A55" s="81">
        <v>46257</v>
      </c>
      <c r="B55" t="s">
        <v>78</v>
      </c>
      <c r="C55">
        <v>0</v>
      </c>
      <c r="D55">
        <v>2</v>
      </c>
      <c r="E55">
        <v>1</v>
      </c>
      <c r="F55">
        <v>12</v>
      </c>
      <c r="G55">
        <v>0</v>
      </c>
      <c r="H55">
        <v>24</v>
      </c>
      <c r="I55">
        <v>24</v>
      </c>
    </row>
    <row r="56" spans="1:9" hidden="1" x14ac:dyDescent="0.3">
      <c r="A56" s="81">
        <v>46258</v>
      </c>
      <c r="B56" t="s">
        <v>69</v>
      </c>
      <c r="C56">
        <v>0</v>
      </c>
      <c r="D56">
        <v>3</v>
      </c>
      <c r="E56">
        <v>1</v>
      </c>
      <c r="F56">
        <v>12</v>
      </c>
      <c r="G56">
        <v>0</v>
      </c>
      <c r="H56">
        <v>36</v>
      </c>
      <c r="I56">
        <v>36</v>
      </c>
    </row>
    <row r="57" spans="1:9" hidden="1" x14ac:dyDescent="0.3">
      <c r="A57" s="81">
        <v>46258</v>
      </c>
      <c r="B57" t="s">
        <v>70</v>
      </c>
      <c r="C57">
        <v>0</v>
      </c>
      <c r="D57">
        <v>2</v>
      </c>
      <c r="E57">
        <v>1</v>
      </c>
      <c r="F57">
        <v>12</v>
      </c>
      <c r="G57">
        <v>0</v>
      </c>
      <c r="H57">
        <v>24</v>
      </c>
      <c r="I57">
        <v>24</v>
      </c>
    </row>
    <row r="58" spans="1:9" hidden="1" x14ac:dyDescent="0.3">
      <c r="A58" s="81">
        <v>46258</v>
      </c>
      <c r="B58" t="s">
        <v>71</v>
      </c>
      <c r="C58">
        <v>21</v>
      </c>
      <c r="D58">
        <v>8</v>
      </c>
      <c r="E58">
        <v>2</v>
      </c>
      <c r="F58">
        <v>23</v>
      </c>
      <c r="G58">
        <v>42</v>
      </c>
      <c r="H58">
        <v>184</v>
      </c>
      <c r="I58">
        <v>226</v>
      </c>
    </row>
    <row r="59" spans="1:9" hidden="1" x14ac:dyDescent="0.3">
      <c r="A59" s="81">
        <v>46258</v>
      </c>
      <c r="B59" t="s">
        <v>72</v>
      </c>
      <c r="C59">
        <v>0</v>
      </c>
      <c r="D59">
        <v>1</v>
      </c>
      <c r="E59">
        <v>3</v>
      </c>
      <c r="F59">
        <v>34</v>
      </c>
      <c r="G59">
        <v>0</v>
      </c>
      <c r="H59">
        <v>34</v>
      </c>
      <c r="I59">
        <v>34</v>
      </c>
    </row>
    <row r="60" spans="1:9" hidden="1" x14ac:dyDescent="0.3">
      <c r="A60" s="81">
        <v>46258</v>
      </c>
      <c r="B60" t="s">
        <v>73</v>
      </c>
      <c r="C60">
        <v>5</v>
      </c>
      <c r="D60">
        <v>5</v>
      </c>
      <c r="E60">
        <v>2</v>
      </c>
      <c r="F60">
        <v>23</v>
      </c>
      <c r="G60">
        <v>10</v>
      </c>
      <c r="H60">
        <v>115</v>
      </c>
      <c r="I60">
        <v>125</v>
      </c>
    </row>
    <row r="61" spans="1:9" hidden="1" x14ac:dyDescent="0.3">
      <c r="A61" s="81">
        <v>46258</v>
      </c>
      <c r="B61" t="s">
        <v>78</v>
      </c>
      <c r="C61">
        <v>0</v>
      </c>
      <c r="D61">
        <v>3</v>
      </c>
      <c r="E61">
        <v>1</v>
      </c>
      <c r="F61">
        <v>12</v>
      </c>
      <c r="G61">
        <v>0</v>
      </c>
      <c r="H61">
        <v>36</v>
      </c>
      <c r="I61">
        <v>36</v>
      </c>
    </row>
    <row r="62" spans="1:9" hidden="1" x14ac:dyDescent="0.3">
      <c r="A62" s="81">
        <v>46259</v>
      </c>
      <c r="B62" t="s">
        <v>69</v>
      </c>
      <c r="C62">
        <v>0</v>
      </c>
      <c r="D62">
        <v>1</v>
      </c>
      <c r="E62">
        <v>1</v>
      </c>
      <c r="F62">
        <v>12</v>
      </c>
      <c r="G62">
        <v>0</v>
      </c>
      <c r="H62">
        <v>12</v>
      </c>
      <c r="I62">
        <v>12</v>
      </c>
    </row>
    <row r="63" spans="1:9" hidden="1" x14ac:dyDescent="0.3">
      <c r="A63" s="81">
        <v>46259</v>
      </c>
      <c r="B63" t="s">
        <v>71</v>
      </c>
      <c r="C63">
        <v>0</v>
      </c>
      <c r="D63">
        <v>5</v>
      </c>
      <c r="E63">
        <v>2</v>
      </c>
      <c r="F63">
        <v>23</v>
      </c>
      <c r="G63">
        <v>0</v>
      </c>
      <c r="H63">
        <v>115</v>
      </c>
      <c r="I63">
        <v>115</v>
      </c>
    </row>
    <row r="64" spans="1:9" hidden="1" x14ac:dyDescent="0.3">
      <c r="A64" s="81">
        <v>46259</v>
      </c>
      <c r="B64" t="s">
        <v>72</v>
      </c>
      <c r="C64">
        <v>0</v>
      </c>
      <c r="D64">
        <v>2</v>
      </c>
      <c r="E64">
        <v>3</v>
      </c>
      <c r="F64">
        <v>34</v>
      </c>
      <c r="G64">
        <v>0</v>
      </c>
      <c r="H64">
        <v>68</v>
      </c>
      <c r="I64">
        <v>68</v>
      </c>
    </row>
    <row r="65" spans="1:9" hidden="1" x14ac:dyDescent="0.3">
      <c r="A65" s="81">
        <v>46259</v>
      </c>
      <c r="B65" t="s">
        <v>73</v>
      </c>
      <c r="C65">
        <v>0</v>
      </c>
      <c r="D65">
        <v>1</v>
      </c>
      <c r="E65">
        <v>2</v>
      </c>
      <c r="F65">
        <v>23</v>
      </c>
      <c r="G65">
        <v>0</v>
      </c>
      <c r="H65">
        <v>23</v>
      </c>
      <c r="I65">
        <v>23</v>
      </c>
    </row>
    <row r="66" spans="1:9" hidden="1" x14ac:dyDescent="0.3">
      <c r="A66" s="81">
        <v>46259</v>
      </c>
      <c r="B66" t="s">
        <v>78</v>
      </c>
      <c r="C66">
        <v>0</v>
      </c>
      <c r="D66">
        <v>4</v>
      </c>
      <c r="E66">
        <v>1</v>
      </c>
      <c r="F66">
        <v>12</v>
      </c>
      <c r="G66">
        <v>0</v>
      </c>
      <c r="H66">
        <v>48</v>
      </c>
      <c r="I66">
        <v>48</v>
      </c>
    </row>
    <row r="67" spans="1:9" hidden="1" x14ac:dyDescent="0.3">
      <c r="A67" s="81">
        <v>46260</v>
      </c>
      <c r="B67" t="s">
        <v>69</v>
      </c>
      <c r="C67">
        <v>5</v>
      </c>
      <c r="D67">
        <v>0</v>
      </c>
      <c r="E67">
        <v>1</v>
      </c>
      <c r="F67">
        <v>12</v>
      </c>
      <c r="G67">
        <v>5</v>
      </c>
      <c r="H67">
        <v>0</v>
      </c>
      <c r="I67">
        <v>5</v>
      </c>
    </row>
    <row r="68" spans="1:9" hidden="1" x14ac:dyDescent="0.3">
      <c r="A68" s="81">
        <v>46260</v>
      </c>
      <c r="B68" t="s">
        <v>70</v>
      </c>
      <c r="C68">
        <v>0</v>
      </c>
      <c r="D68">
        <v>6</v>
      </c>
      <c r="E68">
        <v>1</v>
      </c>
      <c r="F68">
        <v>12</v>
      </c>
      <c r="G68">
        <v>0</v>
      </c>
      <c r="H68">
        <v>72</v>
      </c>
      <c r="I68">
        <v>72</v>
      </c>
    </row>
    <row r="69" spans="1:9" hidden="1" x14ac:dyDescent="0.3">
      <c r="A69" s="81">
        <v>46260</v>
      </c>
      <c r="B69" t="s">
        <v>71</v>
      </c>
      <c r="C69">
        <v>20</v>
      </c>
      <c r="D69">
        <v>11</v>
      </c>
      <c r="E69">
        <v>2</v>
      </c>
      <c r="F69">
        <v>23</v>
      </c>
      <c r="G69">
        <v>40</v>
      </c>
      <c r="H69">
        <v>253</v>
      </c>
      <c r="I69">
        <v>293</v>
      </c>
    </row>
    <row r="70" spans="1:9" hidden="1" x14ac:dyDescent="0.3">
      <c r="A70" s="81">
        <v>46260</v>
      </c>
      <c r="B70" t="s">
        <v>73</v>
      </c>
      <c r="C70">
        <v>0</v>
      </c>
      <c r="D70">
        <v>4</v>
      </c>
      <c r="E70">
        <v>2</v>
      </c>
      <c r="F70">
        <v>23</v>
      </c>
      <c r="G70">
        <v>0</v>
      </c>
      <c r="H70">
        <v>92</v>
      </c>
      <c r="I70">
        <v>92</v>
      </c>
    </row>
    <row r="71" spans="1:9" hidden="1" x14ac:dyDescent="0.3">
      <c r="A71" s="81">
        <v>46260</v>
      </c>
      <c r="B71" t="s">
        <v>78</v>
      </c>
      <c r="C71">
        <v>10</v>
      </c>
      <c r="D71">
        <v>3</v>
      </c>
      <c r="E71">
        <v>1</v>
      </c>
      <c r="F71">
        <v>12</v>
      </c>
      <c r="G71">
        <v>10</v>
      </c>
      <c r="H71">
        <v>36</v>
      </c>
      <c r="I71">
        <v>46</v>
      </c>
    </row>
    <row r="72" spans="1:9" hidden="1" x14ac:dyDescent="0.3">
      <c r="A72" s="81">
        <v>46261</v>
      </c>
      <c r="B72" t="s">
        <v>69</v>
      </c>
      <c r="C72">
        <v>0</v>
      </c>
      <c r="D72">
        <v>3</v>
      </c>
      <c r="E72">
        <v>1</v>
      </c>
      <c r="F72">
        <v>12</v>
      </c>
      <c r="G72">
        <v>0</v>
      </c>
      <c r="H72">
        <v>36</v>
      </c>
      <c r="I72">
        <v>36</v>
      </c>
    </row>
    <row r="73" spans="1:9" hidden="1" x14ac:dyDescent="0.3">
      <c r="A73" s="81">
        <v>46261</v>
      </c>
      <c r="B73" t="s">
        <v>71</v>
      </c>
      <c r="C73">
        <v>0</v>
      </c>
      <c r="D73">
        <v>9</v>
      </c>
      <c r="E73">
        <v>2</v>
      </c>
      <c r="F73">
        <v>23</v>
      </c>
      <c r="G73">
        <v>0</v>
      </c>
      <c r="H73">
        <v>207</v>
      </c>
      <c r="I73">
        <v>207</v>
      </c>
    </row>
    <row r="74" spans="1:9" hidden="1" x14ac:dyDescent="0.3">
      <c r="A74" s="81">
        <v>46261</v>
      </c>
      <c r="B74" t="s">
        <v>73</v>
      </c>
      <c r="C74">
        <v>0</v>
      </c>
      <c r="D74">
        <v>1</v>
      </c>
      <c r="E74">
        <v>2</v>
      </c>
      <c r="F74">
        <v>23</v>
      </c>
      <c r="G74">
        <v>0</v>
      </c>
      <c r="H74">
        <v>23</v>
      </c>
      <c r="I74">
        <v>23</v>
      </c>
    </row>
    <row r="75" spans="1:9" hidden="1" x14ac:dyDescent="0.3">
      <c r="A75" s="81">
        <v>46261</v>
      </c>
      <c r="B75" t="s">
        <v>78</v>
      </c>
      <c r="C75">
        <v>0</v>
      </c>
      <c r="D75">
        <v>4</v>
      </c>
      <c r="E75">
        <v>1</v>
      </c>
      <c r="F75">
        <v>12</v>
      </c>
      <c r="G75">
        <v>0</v>
      </c>
      <c r="H75">
        <v>48</v>
      </c>
      <c r="I75">
        <v>48</v>
      </c>
    </row>
    <row r="76" spans="1:9" hidden="1" x14ac:dyDescent="0.3">
      <c r="A76" s="81">
        <v>46262</v>
      </c>
      <c r="B76" t="s">
        <v>69</v>
      </c>
      <c r="C76">
        <v>10</v>
      </c>
      <c r="D76">
        <v>0</v>
      </c>
      <c r="E76">
        <v>1</v>
      </c>
      <c r="F76">
        <v>12</v>
      </c>
      <c r="G76">
        <v>10</v>
      </c>
      <c r="H76">
        <v>0</v>
      </c>
      <c r="I76">
        <v>10</v>
      </c>
    </row>
    <row r="77" spans="1:9" hidden="1" x14ac:dyDescent="0.3">
      <c r="A77" s="81">
        <v>46262</v>
      </c>
      <c r="B77" t="s">
        <v>70</v>
      </c>
      <c r="C77">
        <v>1</v>
      </c>
      <c r="D77">
        <v>1</v>
      </c>
      <c r="E77">
        <v>1</v>
      </c>
      <c r="F77">
        <v>12</v>
      </c>
      <c r="G77">
        <v>1</v>
      </c>
      <c r="H77">
        <v>12</v>
      </c>
      <c r="I77">
        <v>13</v>
      </c>
    </row>
    <row r="78" spans="1:9" hidden="1" x14ac:dyDescent="0.3">
      <c r="A78" s="81">
        <v>46262</v>
      </c>
      <c r="B78" t="s">
        <v>71</v>
      </c>
      <c r="C78">
        <v>20</v>
      </c>
      <c r="D78">
        <v>9</v>
      </c>
      <c r="E78">
        <v>2</v>
      </c>
      <c r="F78">
        <v>23</v>
      </c>
      <c r="G78">
        <v>40</v>
      </c>
      <c r="H78">
        <v>207</v>
      </c>
      <c r="I78">
        <v>247</v>
      </c>
    </row>
    <row r="79" spans="1:9" hidden="1" x14ac:dyDescent="0.3">
      <c r="A79" s="81">
        <v>46262</v>
      </c>
      <c r="B79" t="s">
        <v>78</v>
      </c>
      <c r="C79">
        <v>11</v>
      </c>
      <c r="D79">
        <v>4</v>
      </c>
      <c r="E79">
        <v>1</v>
      </c>
      <c r="F79">
        <v>12</v>
      </c>
      <c r="G79">
        <v>11</v>
      </c>
      <c r="H79">
        <v>48</v>
      </c>
      <c r="I79">
        <v>59</v>
      </c>
    </row>
    <row r="80" spans="1:9" hidden="1" x14ac:dyDescent="0.3">
      <c r="A80" s="81">
        <v>46263</v>
      </c>
      <c r="B80" t="s">
        <v>70</v>
      </c>
      <c r="C80">
        <v>0</v>
      </c>
      <c r="D80">
        <v>2</v>
      </c>
      <c r="E80">
        <v>1</v>
      </c>
      <c r="F80">
        <v>12</v>
      </c>
      <c r="G80">
        <v>0</v>
      </c>
      <c r="H80">
        <v>24</v>
      </c>
      <c r="I80">
        <v>24</v>
      </c>
    </row>
    <row r="81" spans="1:9" hidden="1" x14ac:dyDescent="0.3">
      <c r="A81" s="81">
        <v>46263</v>
      </c>
      <c r="B81" t="s">
        <v>71</v>
      </c>
      <c r="C81">
        <v>0</v>
      </c>
      <c r="D81">
        <v>14</v>
      </c>
      <c r="E81">
        <v>2</v>
      </c>
      <c r="F81">
        <v>23</v>
      </c>
      <c r="G81">
        <v>0</v>
      </c>
      <c r="H81">
        <v>322</v>
      </c>
      <c r="I81">
        <v>322</v>
      </c>
    </row>
    <row r="82" spans="1:9" hidden="1" x14ac:dyDescent="0.3">
      <c r="A82" s="81">
        <v>46263</v>
      </c>
      <c r="B82" t="s">
        <v>78</v>
      </c>
      <c r="C82">
        <v>10</v>
      </c>
      <c r="D82">
        <v>2</v>
      </c>
      <c r="E82">
        <v>1</v>
      </c>
      <c r="F82">
        <v>12</v>
      </c>
      <c r="G82">
        <v>10</v>
      </c>
      <c r="H82">
        <v>24</v>
      </c>
      <c r="I82">
        <v>34</v>
      </c>
    </row>
    <row r="83" spans="1:9" hidden="1" x14ac:dyDescent="0.3">
      <c r="A83" s="81">
        <v>46264</v>
      </c>
      <c r="B83" t="s">
        <v>69</v>
      </c>
      <c r="C83">
        <v>0</v>
      </c>
      <c r="D83">
        <v>1</v>
      </c>
      <c r="E83">
        <v>1</v>
      </c>
      <c r="F83">
        <v>12</v>
      </c>
      <c r="G83">
        <v>0</v>
      </c>
      <c r="H83">
        <v>12</v>
      </c>
      <c r="I83">
        <v>12</v>
      </c>
    </row>
    <row r="84" spans="1:9" hidden="1" x14ac:dyDescent="0.3">
      <c r="A84" s="81">
        <v>46264</v>
      </c>
      <c r="B84" t="s">
        <v>70</v>
      </c>
      <c r="C84">
        <v>28</v>
      </c>
      <c r="D84">
        <v>2</v>
      </c>
      <c r="E84">
        <v>1</v>
      </c>
      <c r="F84">
        <v>12</v>
      </c>
      <c r="G84">
        <v>28</v>
      </c>
      <c r="H84">
        <v>24</v>
      </c>
      <c r="I84">
        <v>52</v>
      </c>
    </row>
    <row r="85" spans="1:9" hidden="1" x14ac:dyDescent="0.3">
      <c r="A85" s="81">
        <v>46264</v>
      </c>
      <c r="B85" t="s">
        <v>71</v>
      </c>
      <c r="C85">
        <v>17</v>
      </c>
      <c r="D85">
        <v>9</v>
      </c>
      <c r="E85">
        <v>2</v>
      </c>
      <c r="F85">
        <v>23</v>
      </c>
      <c r="G85">
        <v>34</v>
      </c>
      <c r="H85">
        <v>207</v>
      </c>
      <c r="I85">
        <v>241</v>
      </c>
    </row>
    <row r="86" spans="1:9" hidden="1" x14ac:dyDescent="0.3">
      <c r="A86" s="81">
        <v>46264</v>
      </c>
      <c r="B86" t="s">
        <v>72</v>
      </c>
      <c r="C86">
        <v>0</v>
      </c>
      <c r="D86">
        <v>2</v>
      </c>
      <c r="E86">
        <v>3</v>
      </c>
      <c r="F86">
        <v>34</v>
      </c>
      <c r="G86">
        <v>0</v>
      </c>
      <c r="H86">
        <v>68</v>
      </c>
      <c r="I86">
        <v>68</v>
      </c>
    </row>
    <row r="87" spans="1:9" hidden="1" x14ac:dyDescent="0.3">
      <c r="A87" s="81">
        <v>46264</v>
      </c>
      <c r="B87" t="s">
        <v>78</v>
      </c>
      <c r="C87">
        <v>0</v>
      </c>
      <c r="D87">
        <v>4</v>
      </c>
      <c r="E87">
        <v>1</v>
      </c>
      <c r="F87">
        <v>12</v>
      </c>
      <c r="G87">
        <v>0</v>
      </c>
      <c r="H87">
        <v>48</v>
      </c>
      <c r="I87">
        <v>48</v>
      </c>
    </row>
    <row r="88" spans="1:9" hidden="1" x14ac:dyDescent="0.3">
      <c r="A88" s="81">
        <v>46265</v>
      </c>
      <c r="B88" t="s">
        <v>70</v>
      </c>
      <c r="C88">
        <v>0</v>
      </c>
      <c r="D88">
        <v>1</v>
      </c>
      <c r="E88">
        <v>1</v>
      </c>
      <c r="F88">
        <v>12</v>
      </c>
      <c r="G88">
        <v>0</v>
      </c>
      <c r="H88">
        <v>12</v>
      </c>
      <c r="I88">
        <v>12</v>
      </c>
    </row>
    <row r="89" spans="1:9" hidden="1" x14ac:dyDescent="0.3">
      <c r="A89" s="81">
        <v>46265</v>
      </c>
      <c r="B89" t="s">
        <v>71</v>
      </c>
      <c r="C89">
        <v>48</v>
      </c>
      <c r="D89">
        <v>9</v>
      </c>
      <c r="E89">
        <v>2</v>
      </c>
      <c r="F89">
        <v>23</v>
      </c>
      <c r="G89">
        <v>96</v>
      </c>
      <c r="H89">
        <v>207</v>
      </c>
      <c r="I89">
        <v>303</v>
      </c>
    </row>
    <row r="90" spans="1:9" hidden="1" x14ac:dyDescent="0.3">
      <c r="A90" s="81">
        <v>46265</v>
      </c>
      <c r="B90" t="s">
        <v>72</v>
      </c>
      <c r="C90">
        <v>0</v>
      </c>
      <c r="D90">
        <v>1</v>
      </c>
      <c r="E90">
        <v>3</v>
      </c>
      <c r="F90">
        <v>34</v>
      </c>
      <c r="G90">
        <v>0</v>
      </c>
      <c r="H90">
        <v>34</v>
      </c>
      <c r="I90">
        <v>34</v>
      </c>
    </row>
    <row r="91" spans="1:9" hidden="1" x14ac:dyDescent="0.3">
      <c r="A91" s="81">
        <v>46265</v>
      </c>
      <c r="B91" t="s">
        <v>73</v>
      </c>
      <c r="C91">
        <v>56</v>
      </c>
      <c r="D91">
        <v>0</v>
      </c>
      <c r="E91">
        <v>2</v>
      </c>
      <c r="F91">
        <v>23</v>
      </c>
      <c r="G91">
        <v>112</v>
      </c>
      <c r="H91">
        <v>0</v>
      </c>
      <c r="I91">
        <v>112</v>
      </c>
    </row>
    <row r="92" spans="1:9" hidden="1" x14ac:dyDescent="0.3">
      <c r="A92" s="81">
        <v>46265</v>
      </c>
      <c r="B92" t="s">
        <v>78</v>
      </c>
      <c r="C92">
        <v>0</v>
      </c>
      <c r="D92">
        <v>1</v>
      </c>
      <c r="E92">
        <v>1</v>
      </c>
      <c r="F92">
        <v>12</v>
      </c>
      <c r="G92">
        <v>0</v>
      </c>
      <c r="H92">
        <v>12</v>
      </c>
      <c r="I92">
        <v>12</v>
      </c>
    </row>
    <row r="93" spans="1:9" hidden="1" x14ac:dyDescent="0.3">
      <c r="A93" s="81">
        <v>46266</v>
      </c>
      <c r="B93" t="s">
        <v>69</v>
      </c>
      <c r="C93">
        <v>0</v>
      </c>
      <c r="D93">
        <v>1</v>
      </c>
      <c r="E93">
        <v>1</v>
      </c>
      <c r="F93">
        <v>12</v>
      </c>
      <c r="G93">
        <v>0</v>
      </c>
      <c r="H93">
        <v>12</v>
      </c>
      <c r="I93">
        <v>12</v>
      </c>
    </row>
    <row r="94" spans="1:9" hidden="1" x14ac:dyDescent="0.3">
      <c r="A94" s="81">
        <v>46266</v>
      </c>
      <c r="B94" t="s">
        <v>70</v>
      </c>
      <c r="C94">
        <v>0</v>
      </c>
      <c r="D94">
        <v>2</v>
      </c>
      <c r="E94">
        <v>1</v>
      </c>
      <c r="F94">
        <v>12</v>
      </c>
      <c r="G94">
        <v>0</v>
      </c>
      <c r="H94">
        <v>24</v>
      </c>
      <c r="I94">
        <v>24</v>
      </c>
    </row>
    <row r="95" spans="1:9" hidden="1" x14ac:dyDescent="0.3">
      <c r="A95" s="81">
        <v>46266</v>
      </c>
      <c r="B95" t="s">
        <v>71</v>
      </c>
      <c r="C95">
        <v>0</v>
      </c>
      <c r="D95">
        <v>8</v>
      </c>
      <c r="E95">
        <v>2</v>
      </c>
      <c r="F95">
        <v>23</v>
      </c>
      <c r="G95">
        <v>0</v>
      </c>
      <c r="H95">
        <v>184</v>
      </c>
      <c r="I95">
        <v>184</v>
      </c>
    </row>
    <row r="96" spans="1:9" hidden="1" x14ac:dyDescent="0.3">
      <c r="A96" s="81">
        <v>46266</v>
      </c>
      <c r="B96" t="s">
        <v>78</v>
      </c>
      <c r="C96">
        <v>0</v>
      </c>
      <c r="D96">
        <v>2</v>
      </c>
      <c r="E96">
        <v>1</v>
      </c>
      <c r="F96">
        <v>12</v>
      </c>
      <c r="G96">
        <v>0</v>
      </c>
      <c r="H96">
        <v>24</v>
      </c>
      <c r="I96">
        <v>24</v>
      </c>
    </row>
    <row r="97" spans="1:9" hidden="1" x14ac:dyDescent="0.3">
      <c r="A97" s="81">
        <v>46267</v>
      </c>
      <c r="B97" t="s">
        <v>70</v>
      </c>
      <c r="C97">
        <v>0</v>
      </c>
      <c r="D97">
        <v>1</v>
      </c>
      <c r="E97">
        <v>1</v>
      </c>
      <c r="F97">
        <v>12</v>
      </c>
      <c r="G97">
        <v>0</v>
      </c>
      <c r="H97">
        <v>12</v>
      </c>
      <c r="I97">
        <v>12</v>
      </c>
    </row>
    <row r="98" spans="1:9" hidden="1" x14ac:dyDescent="0.3">
      <c r="A98" s="81">
        <v>46267</v>
      </c>
      <c r="B98" t="s">
        <v>71</v>
      </c>
      <c r="C98">
        <v>0</v>
      </c>
      <c r="D98">
        <v>16</v>
      </c>
      <c r="E98">
        <v>2</v>
      </c>
      <c r="F98">
        <v>23</v>
      </c>
      <c r="G98">
        <v>0</v>
      </c>
      <c r="H98">
        <v>368</v>
      </c>
      <c r="I98">
        <v>368</v>
      </c>
    </row>
    <row r="99" spans="1:9" hidden="1" x14ac:dyDescent="0.3">
      <c r="A99" s="81">
        <v>46267</v>
      </c>
      <c r="B99" t="s">
        <v>72</v>
      </c>
      <c r="C99">
        <v>0</v>
      </c>
      <c r="D99">
        <v>1</v>
      </c>
      <c r="E99">
        <v>3</v>
      </c>
      <c r="F99">
        <v>34</v>
      </c>
      <c r="G99">
        <v>0</v>
      </c>
      <c r="H99">
        <v>34</v>
      </c>
      <c r="I99">
        <v>34</v>
      </c>
    </row>
    <row r="100" spans="1:9" hidden="1" x14ac:dyDescent="0.3">
      <c r="A100" s="81">
        <v>46267</v>
      </c>
      <c r="B100" t="s">
        <v>78</v>
      </c>
      <c r="C100">
        <v>0</v>
      </c>
      <c r="D100">
        <v>4</v>
      </c>
      <c r="E100">
        <v>1</v>
      </c>
      <c r="F100">
        <v>12</v>
      </c>
      <c r="G100">
        <v>0</v>
      </c>
      <c r="H100">
        <v>48</v>
      </c>
      <c r="I100">
        <v>48</v>
      </c>
    </row>
    <row r="101" spans="1:9" hidden="1" x14ac:dyDescent="0.3">
      <c r="A101" s="81">
        <v>46268</v>
      </c>
      <c r="B101" t="s">
        <v>69</v>
      </c>
      <c r="C101">
        <v>10</v>
      </c>
      <c r="D101">
        <v>0</v>
      </c>
      <c r="E101">
        <v>1</v>
      </c>
      <c r="F101">
        <v>12</v>
      </c>
      <c r="G101">
        <v>10</v>
      </c>
      <c r="H101">
        <v>0</v>
      </c>
      <c r="I101">
        <v>10</v>
      </c>
    </row>
    <row r="102" spans="1:9" hidden="1" x14ac:dyDescent="0.3">
      <c r="A102" s="81">
        <v>46268</v>
      </c>
      <c r="B102" t="s">
        <v>70</v>
      </c>
      <c r="C102">
        <v>0</v>
      </c>
      <c r="D102">
        <v>2</v>
      </c>
      <c r="E102">
        <v>1</v>
      </c>
      <c r="F102">
        <v>12</v>
      </c>
      <c r="G102">
        <v>0</v>
      </c>
      <c r="H102">
        <v>24</v>
      </c>
      <c r="I102">
        <v>24</v>
      </c>
    </row>
    <row r="103" spans="1:9" hidden="1" x14ac:dyDescent="0.3">
      <c r="A103" s="81">
        <v>46268</v>
      </c>
      <c r="B103" t="s">
        <v>71</v>
      </c>
      <c r="C103">
        <v>0</v>
      </c>
      <c r="D103">
        <v>10</v>
      </c>
      <c r="E103">
        <v>2</v>
      </c>
      <c r="F103">
        <v>23</v>
      </c>
      <c r="G103">
        <v>0</v>
      </c>
      <c r="H103">
        <v>230</v>
      </c>
      <c r="I103">
        <v>230</v>
      </c>
    </row>
    <row r="104" spans="1:9" hidden="1" x14ac:dyDescent="0.3">
      <c r="A104" s="81">
        <v>46268</v>
      </c>
      <c r="B104" t="s">
        <v>72</v>
      </c>
      <c r="C104">
        <v>2</v>
      </c>
      <c r="D104">
        <v>3</v>
      </c>
      <c r="E104">
        <v>3</v>
      </c>
      <c r="F104">
        <v>34</v>
      </c>
      <c r="G104">
        <v>6</v>
      </c>
      <c r="H104">
        <v>102</v>
      </c>
      <c r="I104">
        <v>108</v>
      </c>
    </row>
    <row r="105" spans="1:9" hidden="1" x14ac:dyDescent="0.3">
      <c r="A105" s="81">
        <v>46268</v>
      </c>
      <c r="B105" t="s">
        <v>73</v>
      </c>
      <c r="C105">
        <v>0</v>
      </c>
      <c r="D105">
        <v>4</v>
      </c>
      <c r="E105">
        <v>2</v>
      </c>
      <c r="F105">
        <v>23</v>
      </c>
      <c r="G105">
        <v>0</v>
      </c>
      <c r="H105">
        <v>92</v>
      </c>
      <c r="I105">
        <v>92</v>
      </c>
    </row>
    <row r="106" spans="1:9" hidden="1" x14ac:dyDescent="0.3">
      <c r="A106" s="81">
        <v>46268</v>
      </c>
      <c r="B106" t="s">
        <v>78</v>
      </c>
      <c r="C106">
        <v>0</v>
      </c>
      <c r="D106">
        <v>2</v>
      </c>
      <c r="E106">
        <v>1</v>
      </c>
      <c r="F106">
        <v>12</v>
      </c>
      <c r="G106">
        <v>0</v>
      </c>
      <c r="H106">
        <v>24</v>
      </c>
      <c r="I106">
        <v>24</v>
      </c>
    </row>
    <row r="107" spans="1:9" hidden="1" x14ac:dyDescent="0.3">
      <c r="A107" s="81">
        <v>46269</v>
      </c>
      <c r="B107" t="s">
        <v>70</v>
      </c>
      <c r="C107">
        <v>0</v>
      </c>
      <c r="D107">
        <v>2</v>
      </c>
      <c r="E107">
        <v>1</v>
      </c>
      <c r="F107">
        <v>12</v>
      </c>
      <c r="G107">
        <v>0</v>
      </c>
      <c r="H107">
        <v>24</v>
      </c>
      <c r="I107">
        <v>24</v>
      </c>
    </row>
    <row r="108" spans="1:9" hidden="1" x14ac:dyDescent="0.3">
      <c r="A108" s="81">
        <v>46269</v>
      </c>
      <c r="B108" t="s">
        <v>71</v>
      </c>
      <c r="C108">
        <v>0</v>
      </c>
      <c r="D108">
        <v>11</v>
      </c>
      <c r="E108">
        <v>2</v>
      </c>
      <c r="F108">
        <v>23</v>
      </c>
      <c r="G108">
        <v>0</v>
      </c>
      <c r="H108">
        <v>253</v>
      </c>
      <c r="I108">
        <v>253</v>
      </c>
    </row>
    <row r="109" spans="1:9" hidden="1" x14ac:dyDescent="0.3">
      <c r="A109" s="81">
        <v>46269</v>
      </c>
      <c r="B109" t="s">
        <v>72</v>
      </c>
      <c r="C109">
        <v>4</v>
      </c>
      <c r="D109">
        <v>3</v>
      </c>
      <c r="E109">
        <v>3</v>
      </c>
      <c r="F109">
        <v>34</v>
      </c>
      <c r="G109">
        <v>12</v>
      </c>
      <c r="H109">
        <v>102</v>
      </c>
      <c r="I109">
        <v>114</v>
      </c>
    </row>
    <row r="110" spans="1:9" hidden="1" x14ac:dyDescent="0.3">
      <c r="A110" s="81">
        <v>46269</v>
      </c>
      <c r="B110" t="s">
        <v>73</v>
      </c>
      <c r="C110">
        <v>0</v>
      </c>
      <c r="D110">
        <v>2</v>
      </c>
      <c r="E110">
        <v>2</v>
      </c>
      <c r="F110">
        <v>23</v>
      </c>
      <c r="G110">
        <v>0</v>
      </c>
      <c r="H110">
        <v>46</v>
      </c>
      <c r="I110">
        <v>46</v>
      </c>
    </row>
    <row r="111" spans="1:9" hidden="1" x14ac:dyDescent="0.3">
      <c r="A111" s="81">
        <v>46269</v>
      </c>
      <c r="B111" t="s">
        <v>78</v>
      </c>
      <c r="C111">
        <v>10</v>
      </c>
      <c r="D111">
        <v>2</v>
      </c>
      <c r="E111">
        <v>1</v>
      </c>
      <c r="F111">
        <v>12</v>
      </c>
      <c r="G111">
        <v>10</v>
      </c>
      <c r="H111">
        <v>24</v>
      </c>
      <c r="I111">
        <v>34</v>
      </c>
    </row>
    <row r="112" spans="1:9" hidden="1" x14ac:dyDescent="0.3">
      <c r="A112" s="81">
        <v>46270</v>
      </c>
      <c r="B112" t="s">
        <v>70</v>
      </c>
      <c r="C112">
        <v>2</v>
      </c>
      <c r="D112">
        <v>1</v>
      </c>
      <c r="E112">
        <v>1</v>
      </c>
      <c r="F112">
        <v>12</v>
      </c>
      <c r="G112">
        <v>2</v>
      </c>
      <c r="H112">
        <v>12</v>
      </c>
      <c r="I112">
        <v>14</v>
      </c>
    </row>
    <row r="113" spans="1:10" hidden="1" x14ac:dyDescent="0.3">
      <c r="A113" s="81">
        <v>46270</v>
      </c>
      <c r="B113" t="s">
        <v>71</v>
      </c>
      <c r="C113">
        <v>60</v>
      </c>
      <c r="D113">
        <v>1</v>
      </c>
      <c r="E113">
        <v>2</v>
      </c>
      <c r="F113">
        <v>23</v>
      </c>
      <c r="G113">
        <v>120</v>
      </c>
      <c r="H113">
        <v>23</v>
      </c>
      <c r="I113">
        <v>143</v>
      </c>
    </row>
    <row r="114" spans="1:10" hidden="1" x14ac:dyDescent="0.3">
      <c r="A114" s="81">
        <v>46270</v>
      </c>
      <c r="B114" t="s">
        <v>72</v>
      </c>
      <c r="C114">
        <v>1</v>
      </c>
      <c r="D114">
        <v>0</v>
      </c>
      <c r="E114">
        <v>3</v>
      </c>
      <c r="F114">
        <v>34</v>
      </c>
      <c r="G114">
        <v>3</v>
      </c>
      <c r="H114">
        <v>0</v>
      </c>
      <c r="I114">
        <v>3</v>
      </c>
    </row>
    <row r="115" spans="1:10" hidden="1" x14ac:dyDescent="0.3">
      <c r="A115" s="81">
        <v>46270</v>
      </c>
      <c r="B115" t="s">
        <v>73</v>
      </c>
      <c r="C115">
        <v>0</v>
      </c>
      <c r="D115">
        <v>1</v>
      </c>
      <c r="E115">
        <v>2</v>
      </c>
      <c r="F115">
        <v>23</v>
      </c>
      <c r="G115">
        <v>0</v>
      </c>
      <c r="H115">
        <v>23</v>
      </c>
      <c r="I115">
        <v>23</v>
      </c>
    </row>
    <row r="116" spans="1:10" hidden="1" x14ac:dyDescent="0.3">
      <c r="A116" s="81">
        <v>46270</v>
      </c>
      <c r="B116" t="s">
        <v>78</v>
      </c>
      <c r="C116">
        <v>0</v>
      </c>
      <c r="D116">
        <v>1</v>
      </c>
      <c r="E116">
        <v>1</v>
      </c>
      <c r="F116">
        <v>12</v>
      </c>
      <c r="G116">
        <v>0</v>
      </c>
      <c r="H116">
        <v>12</v>
      </c>
      <c r="I116">
        <v>12</v>
      </c>
    </row>
    <row r="117" spans="1:10" hidden="1" x14ac:dyDescent="0.3">
      <c r="A117" s="81">
        <v>46271</v>
      </c>
      <c r="B117" t="s">
        <v>69</v>
      </c>
      <c r="C117">
        <v>0</v>
      </c>
      <c r="D117">
        <v>2</v>
      </c>
      <c r="E117">
        <v>1</v>
      </c>
      <c r="F117">
        <v>12</v>
      </c>
      <c r="G117">
        <v>0</v>
      </c>
      <c r="H117">
        <v>24</v>
      </c>
      <c r="I117">
        <v>24</v>
      </c>
    </row>
    <row r="118" spans="1:10" hidden="1" x14ac:dyDescent="0.3">
      <c r="A118" s="81">
        <v>46271</v>
      </c>
      <c r="B118" t="s">
        <v>70</v>
      </c>
      <c r="C118">
        <v>0</v>
      </c>
      <c r="D118">
        <v>4</v>
      </c>
      <c r="E118">
        <v>1</v>
      </c>
      <c r="F118">
        <v>12</v>
      </c>
      <c r="G118">
        <v>0</v>
      </c>
      <c r="H118">
        <v>48</v>
      </c>
      <c r="I118">
        <v>48</v>
      </c>
    </row>
    <row r="119" spans="1:10" hidden="1" x14ac:dyDescent="0.3">
      <c r="A119" s="81">
        <v>46271</v>
      </c>
      <c r="B119" t="s">
        <v>71</v>
      </c>
      <c r="C119">
        <v>0</v>
      </c>
      <c r="D119">
        <v>8</v>
      </c>
      <c r="E119">
        <v>2</v>
      </c>
      <c r="F119">
        <v>23</v>
      </c>
      <c r="G119">
        <v>0</v>
      </c>
      <c r="H119">
        <v>184</v>
      </c>
      <c r="I119">
        <v>184</v>
      </c>
    </row>
    <row r="120" spans="1:10" hidden="1" x14ac:dyDescent="0.3">
      <c r="A120" s="81">
        <v>46271</v>
      </c>
      <c r="B120" t="s">
        <v>72</v>
      </c>
      <c r="C120">
        <v>0</v>
      </c>
      <c r="D120">
        <v>1</v>
      </c>
      <c r="E120">
        <v>3</v>
      </c>
      <c r="F120">
        <v>34</v>
      </c>
      <c r="G120">
        <v>0</v>
      </c>
      <c r="H120">
        <v>34</v>
      </c>
      <c r="I120">
        <v>34</v>
      </c>
    </row>
    <row r="121" spans="1:10" hidden="1" x14ac:dyDescent="0.3">
      <c r="A121" s="81">
        <v>46271</v>
      </c>
      <c r="B121" t="s">
        <v>73</v>
      </c>
      <c r="C121">
        <v>0</v>
      </c>
      <c r="D121">
        <v>10</v>
      </c>
      <c r="E121">
        <v>2</v>
      </c>
      <c r="F121">
        <v>23</v>
      </c>
      <c r="G121">
        <v>0</v>
      </c>
      <c r="H121">
        <v>230</v>
      </c>
      <c r="I121">
        <v>230</v>
      </c>
    </row>
    <row r="122" spans="1:10" s="87" customFormat="1" hidden="1" x14ac:dyDescent="0.3">
      <c r="A122" s="81"/>
    </row>
    <row r="123" spans="1:10" s="87" customFormat="1" hidden="1" x14ac:dyDescent="0.3">
      <c r="A123" s="81"/>
    </row>
    <row r="124" spans="1:10" x14ac:dyDescent="0.3">
      <c r="A124" s="92">
        <v>46273</v>
      </c>
      <c r="B124" s="91" t="s">
        <v>69</v>
      </c>
      <c r="C124" s="91">
        <v>0</v>
      </c>
      <c r="D124" s="91">
        <v>1</v>
      </c>
      <c r="E124" s="90">
        <v>1</v>
      </c>
      <c r="F124" s="90">
        <v>12</v>
      </c>
      <c r="G124" s="90">
        <v>0</v>
      </c>
      <c r="H124" s="90">
        <v>12</v>
      </c>
      <c r="I124" s="90">
        <v>12</v>
      </c>
      <c r="J124" s="91" t="s">
        <v>43</v>
      </c>
    </row>
    <row r="125" spans="1:10" x14ac:dyDescent="0.3">
      <c r="A125" s="92">
        <v>46273</v>
      </c>
      <c r="B125" s="91" t="s">
        <v>70</v>
      </c>
      <c r="C125" s="91">
        <v>0</v>
      </c>
      <c r="D125" s="91">
        <v>1</v>
      </c>
      <c r="E125" s="90">
        <v>1</v>
      </c>
      <c r="F125" s="90">
        <v>12</v>
      </c>
      <c r="G125" s="90">
        <v>0</v>
      </c>
      <c r="H125" s="90">
        <v>12</v>
      </c>
      <c r="I125" s="90">
        <v>12</v>
      </c>
      <c r="J125" s="91" t="s">
        <v>43</v>
      </c>
    </row>
    <row r="126" spans="1:10" x14ac:dyDescent="0.3">
      <c r="A126" s="92">
        <v>46273</v>
      </c>
      <c r="B126" s="91" t="s">
        <v>71</v>
      </c>
      <c r="C126" s="91">
        <v>0</v>
      </c>
      <c r="D126" s="91">
        <v>11</v>
      </c>
      <c r="E126" s="90">
        <v>2</v>
      </c>
      <c r="F126" s="90">
        <v>23</v>
      </c>
      <c r="G126" s="90">
        <v>0</v>
      </c>
      <c r="H126" s="90">
        <v>253</v>
      </c>
      <c r="I126" s="90">
        <v>253</v>
      </c>
      <c r="J126" s="91" t="s">
        <v>43</v>
      </c>
    </row>
    <row r="127" spans="1:10" x14ac:dyDescent="0.3">
      <c r="A127" s="92">
        <v>46273</v>
      </c>
      <c r="B127" s="91" t="s">
        <v>73</v>
      </c>
      <c r="C127" s="91">
        <v>0</v>
      </c>
      <c r="D127" s="91">
        <v>3</v>
      </c>
      <c r="E127" s="90">
        <v>2</v>
      </c>
      <c r="F127" s="90">
        <v>23</v>
      </c>
      <c r="G127" s="90">
        <v>0</v>
      </c>
      <c r="H127" s="90">
        <v>69</v>
      </c>
      <c r="I127" s="90">
        <v>69</v>
      </c>
      <c r="J127" s="91" t="s">
        <v>43</v>
      </c>
    </row>
    <row r="128" spans="1:10" x14ac:dyDescent="0.3">
      <c r="A128" s="92">
        <v>46274</v>
      </c>
      <c r="B128" s="91" t="s">
        <v>70</v>
      </c>
      <c r="C128" s="91">
        <v>0</v>
      </c>
      <c r="D128" s="91">
        <v>1</v>
      </c>
      <c r="E128" s="90">
        <v>1</v>
      </c>
      <c r="F128" s="90">
        <v>12</v>
      </c>
      <c r="G128" s="90">
        <v>0</v>
      </c>
      <c r="H128" s="90">
        <v>12</v>
      </c>
      <c r="I128" s="90">
        <v>12</v>
      </c>
      <c r="J128" s="91" t="s">
        <v>43</v>
      </c>
    </row>
    <row r="129" spans="1:16" x14ac:dyDescent="0.3">
      <c r="A129" s="92">
        <v>46274</v>
      </c>
      <c r="B129" s="91" t="s">
        <v>71</v>
      </c>
      <c r="C129" s="91">
        <v>0</v>
      </c>
      <c r="D129" s="91">
        <v>8</v>
      </c>
      <c r="E129" s="90">
        <v>2</v>
      </c>
      <c r="F129" s="90">
        <v>23</v>
      </c>
      <c r="G129" s="90">
        <v>0</v>
      </c>
      <c r="H129" s="90">
        <v>184</v>
      </c>
      <c r="I129" s="90">
        <v>184</v>
      </c>
      <c r="J129" s="91" t="s">
        <v>43</v>
      </c>
    </row>
    <row r="130" spans="1:16" x14ac:dyDescent="0.3">
      <c r="A130" s="92">
        <v>46274</v>
      </c>
      <c r="B130" s="91" t="s">
        <v>73</v>
      </c>
      <c r="C130" s="91">
        <v>0</v>
      </c>
      <c r="D130" s="91">
        <v>5</v>
      </c>
      <c r="E130" s="90">
        <v>2</v>
      </c>
      <c r="F130" s="90">
        <v>23</v>
      </c>
      <c r="G130" s="90">
        <v>0</v>
      </c>
      <c r="H130" s="90">
        <v>115</v>
      </c>
      <c r="I130" s="90">
        <v>115</v>
      </c>
      <c r="J130" s="91" t="s">
        <v>43</v>
      </c>
    </row>
    <row r="131" spans="1:16" x14ac:dyDescent="0.3">
      <c r="A131" s="92">
        <v>46274</v>
      </c>
      <c r="B131" s="91" t="s">
        <v>78</v>
      </c>
      <c r="C131" s="91">
        <v>0</v>
      </c>
      <c r="D131" s="91">
        <v>1</v>
      </c>
      <c r="E131" s="90">
        <v>1</v>
      </c>
      <c r="F131" s="90">
        <v>12</v>
      </c>
      <c r="G131" s="90">
        <v>0</v>
      </c>
      <c r="H131" s="90">
        <v>12</v>
      </c>
      <c r="I131" s="90">
        <v>12</v>
      </c>
      <c r="J131" s="91" t="s">
        <v>43</v>
      </c>
    </row>
    <row r="132" spans="1:16" x14ac:dyDescent="0.3">
      <c r="A132" s="92">
        <v>46275</v>
      </c>
      <c r="B132" s="91" t="s">
        <v>70</v>
      </c>
      <c r="C132" s="91">
        <v>10</v>
      </c>
      <c r="D132" s="91">
        <v>0</v>
      </c>
      <c r="E132" s="90">
        <v>1</v>
      </c>
      <c r="F132" s="90">
        <v>12</v>
      </c>
      <c r="G132" s="90">
        <v>10</v>
      </c>
      <c r="H132" s="90">
        <v>0</v>
      </c>
      <c r="I132" s="90">
        <v>10</v>
      </c>
      <c r="J132" s="91" t="s">
        <v>43</v>
      </c>
    </row>
    <row r="133" spans="1:16" x14ac:dyDescent="0.3">
      <c r="A133" s="92">
        <v>46275</v>
      </c>
      <c r="B133" s="91" t="s">
        <v>71</v>
      </c>
      <c r="C133" s="91">
        <v>129</v>
      </c>
      <c r="D133" s="91">
        <v>10</v>
      </c>
      <c r="E133" s="90">
        <v>2</v>
      </c>
      <c r="F133" s="90">
        <v>23</v>
      </c>
      <c r="G133" s="90">
        <v>258</v>
      </c>
      <c r="H133" s="90">
        <v>230</v>
      </c>
      <c r="I133" s="90">
        <v>488</v>
      </c>
      <c r="J133" s="91" t="s">
        <v>43</v>
      </c>
    </row>
    <row r="134" spans="1:16" x14ac:dyDescent="0.3">
      <c r="A134" s="92">
        <v>46275</v>
      </c>
      <c r="B134" s="91" t="s">
        <v>72</v>
      </c>
      <c r="C134" s="91">
        <v>2</v>
      </c>
      <c r="D134" s="91">
        <v>0</v>
      </c>
      <c r="E134" s="90">
        <v>3</v>
      </c>
      <c r="F134" s="90">
        <v>34</v>
      </c>
      <c r="G134" s="90">
        <v>6</v>
      </c>
      <c r="H134" s="90">
        <v>0</v>
      </c>
      <c r="I134" s="90">
        <v>6</v>
      </c>
      <c r="J134" s="91" t="s">
        <v>43</v>
      </c>
      <c r="P134" s="87"/>
    </row>
    <row r="135" spans="1:16" x14ac:dyDescent="0.3">
      <c r="A135" s="92">
        <v>46275</v>
      </c>
      <c r="B135" s="91" t="s">
        <v>73</v>
      </c>
      <c r="C135" s="91">
        <v>0</v>
      </c>
      <c r="D135" s="91">
        <v>8</v>
      </c>
      <c r="E135" s="90">
        <v>2</v>
      </c>
      <c r="F135" s="90">
        <v>23</v>
      </c>
      <c r="G135" s="90">
        <v>0</v>
      </c>
      <c r="H135" s="90">
        <v>184</v>
      </c>
      <c r="I135" s="90">
        <v>184</v>
      </c>
      <c r="J135" s="91" t="s">
        <v>43</v>
      </c>
    </row>
    <row r="136" spans="1:16" x14ac:dyDescent="0.3">
      <c r="A136" s="92">
        <v>46275</v>
      </c>
      <c r="B136" s="91" t="s">
        <v>78</v>
      </c>
      <c r="C136" s="91">
        <v>10</v>
      </c>
      <c r="D136" s="91">
        <v>1</v>
      </c>
      <c r="E136" s="90">
        <v>1</v>
      </c>
      <c r="F136" s="90">
        <v>12</v>
      </c>
      <c r="G136" s="90">
        <v>10</v>
      </c>
      <c r="H136" s="90">
        <v>12</v>
      </c>
      <c r="I136" s="90">
        <v>22</v>
      </c>
      <c r="J136" s="91" t="s">
        <v>43</v>
      </c>
    </row>
    <row r="137" spans="1:16" x14ac:dyDescent="0.3">
      <c r="A137" s="92">
        <v>46275</v>
      </c>
      <c r="B137" s="91" t="s">
        <v>79</v>
      </c>
      <c r="C137" s="91">
        <v>27</v>
      </c>
      <c r="D137" s="91">
        <v>1</v>
      </c>
      <c r="E137" s="90">
        <v>1</v>
      </c>
      <c r="F137" s="90">
        <v>12</v>
      </c>
      <c r="G137" s="90">
        <v>27</v>
      </c>
      <c r="H137" s="90">
        <v>12</v>
      </c>
      <c r="I137" s="90">
        <v>39</v>
      </c>
      <c r="J137" s="91" t="s">
        <v>43</v>
      </c>
    </row>
    <row r="138" spans="1:16" x14ac:dyDescent="0.3">
      <c r="A138" s="92">
        <v>46277</v>
      </c>
      <c r="B138" s="91" t="s">
        <v>69</v>
      </c>
      <c r="C138" s="91">
        <v>0</v>
      </c>
      <c r="D138" s="91">
        <v>1</v>
      </c>
      <c r="E138" s="90">
        <v>1</v>
      </c>
      <c r="F138" s="90">
        <v>12</v>
      </c>
      <c r="G138" s="90">
        <v>0</v>
      </c>
      <c r="H138" s="90">
        <v>12</v>
      </c>
      <c r="I138" s="90">
        <v>12</v>
      </c>
      <c r="J138" s="91" t="s">
        <v>43</v>
      </c>
    </row>
    <row r="139" spans="1:16" x14ac:dyDescent="0.3">
      <c r="A139" s="92">
        <v>46277</v>
      </c>
      <c r="B139" s="91" t="s">
        <v>70</v>
      </c>
      <c r="C139" s="91">
        <v>0</v>
      </c>
      <c r="D139" s="91">
        <v>2</v>
      </c>
      <c r="E139" s="90">
        <v>1</v>
      </c>
      <c r="F139" s="90">
        <v>12</v>
      </c>
      <c r="G139" s="90">
        <v>0</v>
      </c>
      <c r="H139" s="90">
        <v>24</v>
      </c>
      <c r="I139" s="90">
        <v>24</v>
      </c>
      <c r="J139" s="91" t="s">
        <v>43</v>
      </c>
    </row>
    <row r="140" spans="1:16" x14ac:dyDescent="0.3">
      <c r="A140" s="92">
        <v>46277</v>
      </c>
      <c r="B140" s="91" t="s">
        <v>71</v>
      </c>
      <c r="C140" s="91">
        <v>0</v>
      </c>
      <c r="D140" s="91">
        <v>5</v>
      </c>
      <c r="E140" s="90">
        <v>2</v>
      </c>
      <c r="F140" s="90">
        <v>23</v>
      </c>
      <c r="G140" s="90">
        <v>0</v>
      </c>
      <c r="H140" s="90">
        <v>115</v>
      </c>
      <c r="I140" s="90">
        <v>115</v>
      </c>
      <c r="J140" s="91" t="s">
        <v>43</v>
      </c>
    </row>
    <row r="141" spans="1:16" x14ac:dyDescent="0.3">
      <c r="A141" s="92">
        <v>46277</v>
      </c>
      <c r="B141" s="91" t="s">
        <v>72</v>
      </c>
      <c r="C141" s="91">
        <v>0</v>
      </c>
      <c r="D141" s="91">
        <v>1</v>
      </c>
      <c r="E141" s="90">
        <v>3</v>
      </c>
      <c r="F141" s="90">
        <v>34</v>
      </c>
      <c r="G141" s="90">
        <v>0</v>
      </c>
      <c r="H141" s="90">
        <v>34</v>
      </c>
      <c r="I141" s="90">
        <v>34</v>
      </c>
      <c r="J141" s="91" t="s">
        <v>43</v>
      </c>
    </row>
    <row r="142" spans="1:16" x14ac:dyDescent="0.3">
      <c r="A142" s="92">
        <v>46277</v>
      </c>
      <c r="B142" s="91" t="s">
        <v>73</v>
      </c>
      <c r="C142" s="91">
        <v>0</v>
      </c>
      <c r="D142" s="91">
        <v>8</v>
      </c>
      <c r="E142" s="90">
        <v>2</v>
      </c>
      <c r="F142" s="90">
        <v>23</v>
      </c>
      <c r="G142" s="90">
        <v>0</v>
      </c>
      <c r="H142" s="90">
        <v>184</v>
      </c>
      <c r="I142" s="90">
        <v>184</v>
      </c>
      <c r="J142" s="91" t="s">
        <v>43</v>
      </c>
    </row>
    <row r="143" spans="1:16" x14ac:dyDescent="0.3">
      <c r="A143" s="92">
        <v>46277</v>
      </c>
      <c r="B143" s="91" t="s">
        <v>78</v>
      </c>
      <c r="C143" s="91">
        <v>0</v>
      </c>
      <c r="D143" s="91">
        <v>4</v>
      </c>
      <c r="E143" s="90">
        <v>1</v>
      </c>
      <c r="F143" s="90">
        <v>12</v>
      </c>
      <c r="G143" s="90">
        <v>0</v>
      </c>
      <c r="H143" s="90">
        <v>48</v>
      </c>
      <c r="I143" s="90">
        <v>48</v>
      </c>
      <c r="J143" s="91" t="s">
        <v>43</v>
      </c>
    </row>
    <row r="144" spans="1:16" x14ac:dyDescent="0.3">
      <c r="A144" s="92">
        <v>46277</v>
      </c>
      <c r="B144" s="91" t="s">
        <v>79</v>
      </c>
      <c r="C144" s="91">
        <v>0</v>
      </c>
      <c r="D144" s="91">
        <v>1</v>
      </c>
      <c r="E144" s="90">
        <v>1</v>
      </c>
      <c r="F144" s="90">
        <v>12</v>
      </c>
      <c r="G144" s="90">
        <v>0</v>
      </c>
      <c r="H144" s="90">
        <v>12</v>
      </c>
      <c r="I144" s="90">
        <v>12</v>
      </c>
      <c r="J144" s="91" t="s">
        <v>43</v>
      </c>
    </row>
    <row r="145" spans="1:11" x14ac:dyDescent="0.3">
      <c r="A145" s="92">
        <v>46278</v>
      </c>
      <c r="B145" s="91" t="s">
        <v>69</v>
      </c>
      <c r="C145" s="91">
        <v>0</v>
      </c>
      <c r="D145" s="91">
        <v>4</v>
      </c>
      <c r="E145" s="90">
        <v>1</v>
      </c>
      <c r="F145" s="90">
        <v>12</v>
      </c>
      <c r="G145" s="90">
        <v>0</v>
      </c>
      <c r="H145" s="90">
        <v>48</v>
      </c>
      <c r="I145" s="90">
        <v>48</v>
      </c>
      <c r="J145" s="91" t="s">
        <v>43</v>
      </c>
    </row>
    <row r="146" spans="1:11" x14ac:dyDescent="0.3">
      <c r="A146" s="92">
        <v>46278</v>
      </c>
      <c r="B146" s="91" t="s">
        <v>70</v>
      </c>
      <c r="C146" s="91">
        <v>0</v>
      </c>
      <c r="D146" s="91">
        <v>2</v>
      </c>
      <c r="E146" s="90">
        <v>1</v>
      </c>
      <c r="F146" s="90">
        <v>12</v>
      </c>
      <c r="G146" s="90">
        <v>0</v>
      </c>
      <c r="H146" s="90">
        <v>24</v>
      </c>
      <c r="I146" s="90">
        <v>24</v>
      </c>
      <c r="J146" s="91" t="s">
        <v>43</v>
      </c>
    </row>
    <row r="147" spans="1:11" x14ac:dyDescent="0.3">
      <c r="A147" s="92">
        <v>46278</v>
      </c>
      <c r="B147" s="91" t="s">
        <v>71</v>
      </c>
      <c r="C147" s="91">
        <v>0</v>
      </c>
      <c r="D147" s="91">
        <v>2</v>
      </c>
      <c r="E147" s="90">
        <v>2</v>
      </c>
      <c r="F147" s="90">
        <v>23</v>
      </c>
      <c r="G147" s="90">
        <v>0</v>
      </c>
      <c r="H147" s="90">
        <v>46</v>
      </c>
      <c r="I147" s="90">
        <v>46</v>
      </c>
      <c r="J147" s="91" t="s">
        <v>43</v>
      </c>
    </row>
    <row r="148" spans="1:11" x14ac:dyDescent="0.3">
      <c r="A148" s="92">
        <v>46278</v>
      </c>
      <c r="B148" s="91" t="s">
        <v>72</v>
      </c>
      <c r="C148" s="91">
        <v>2</v>
      </c>
      <c r="D148" s="91">
        <v>2</v>
      </c>
      <c r="E148" s="90">
        <v>3</v>
      </c>
      <c r="F148" s="90">
        <v>34</v>
      </c>
      <c r="G148" s="90">
        <v>6</v>
      </c>
      <c r="H148" s="90">
        <v>68</v>
      </c>
      <c r="I148" s="90">
        <v>74</v>
      </c>
      <c r="J148" s="91" t="s">
        <v>43</v>
      </c>
    </row>
    <row r="149" spans="1:11" x14ac:dyDescent="0.3">
      <c r="A149" s="92">
        <v>46278</v>
      </c>
      <c r="B149" s="91" t="s">
        <v>73</v>
      </c>
      <c r="C149" s="91">
        <v>0</v>
      </c>
      <c r="D149" s="91">
        <v>4</v>
      </c>
      <c r="E149" s="90">
        <v>2</v>
      </c>
      <c r="F149" s="90">
        <v>23</v>
      </c>
      <c r="G149" s="90">
        <v>0</v>
      </c>
      <c r="H149" s="90">
        <v>92</v>
      </c>
      <c r="I149" s="90">
        <v>92</v>
      </c>
      <c r="J149" s="91" t="s">
        <v>43</v>
      </c>
    </row>
    <row r="150" spans="1:11" s="87" customFormat="1" x14ac:dyDescent="0.3">
      <c r="A150" s="92"/>
      <c r="B150" s="91"/>
      <c r="C150" s="91"/>
      <c r="D150" s="91"/>
      <c r="E150" s="90"/>
      <c r="F150" s="90"/>
      <c r="G150" s="90"/>
      <c r="H150" s="90"/>
      <c r="I150" s="90">
        <f>SUM(I124:I149)</f>
        <v>2131</v>
      </c>
      <c r="J150" s="91"/>
      <c r="K150" s="83">
        <f>I150-300</f>
        <v>1831</v>
      </c>
    </row>
    <row r="151" spans="1:11" s="87" customFormat="1" x14ac:dyDescent="0.3">
      <c r="A151" s="92"/>
      <c r="B151" s="91"/>
      <c r="C151" s="91"/>
      <c r="D151" s="91"/>
      <c r="E151" s="90"/>
      <c r="F151" s="90"/>
      <c r="G151" s="90"/>
      <c r="H151" s="90"/>
      <c r="I151" s="90"/>
      <c r="J151" s="91"/>
    </row>
    <row r="152" spans="1:11" x14ac:dyDescent="0.3">
      <c r="A152" s="92">
        <v>46272</v>
      </c>
      <c r="B152" s="91" t="s">
        <v>71</v>
      </c>
      <c r="C152" s="91">
        <v>3</v>
      </c>
      <c r="D152" s="91">
        <v>3</v>
      </c>
      <c r="E152" s="90">
        <v>2</v>
      </c>
      <c r="F152" s="90">
        <v>23</v>
      </c>
      <c r="G152" s="90">
        <v>6</v>
      </c>
      <c r="H152" s="90">
        <v>69</v>
      </c>
      <c r="I152" s="90">
        <v>75</v>
      </c>
      <c r="J152" s="91" t="s">
        <v>45</v>
      </c>
    </row>
    <row r="153" spans="1:11" x14ac:dyDescent="0.3">
      <c r="A153" s="92">
        <v>46272</v>
      </c>
      <c r="B153" s="91" t="s">
        <v>73</v>
      </c>
      <c r="C153" s="91">
        <v>2</v>
      </c>
      <c r="D153" s="91">
        <v>2</v>
      </c>
      <c r="E153" s="90">
        <v>2</v>
      </c>
      <c r="F153" s="90">
        <v>23</v>
      </c>
      <c r="G153" s="90">
        <v>4</v>
      </c>
      <c r="H153" s="90">
        <v>46</v>
      </c>
      <c r="I153" s="90">
        <v>50</v>
      </c>
      <c r="J153" s="91" t="s">
        <v>45</v>
      </c>
    </row>
    <row r="154" spans="1:11" x14ac:dyDescent="0.3">
      <c r="A154" s="92">
        <v>46272</v>
      </c>
      <c r="B154" s="91" t="s">
        <v>78</v>
      </c>
      <c r="C154" s="91">
        <v>1</v>
      </c>
      <c r="D154" s="91">
        <v>1</v>
      </c>
      <c r="E154" s="90">
        <v>1</v>
      </c>
      <c r="F154" s="90">
        <v>12</v>
      </c>
      <c r="G154" s="90">
        <v>1</v>
      </c>
      <c r="H154" s="90">
        <v>12</v>
      </c>
      <c r="I154" s="90">
        <v>13</v>
      </c>
      <c r="J154" s="91" t="s">
        <v>45</v>
      </c>
    </row>
    <row r="155" spans="1:11" x14ac:dyDescent="0.3">
      <c r="A155" s="92">
        <v>46276</v>
      </c>
      <c r="B155" s="91" t="s">
        <v>69</v>
      </c>
      <c r="C155" s="91">
        <v>0</v>
      </c>
      <c r="D155" s="91">
        <v>5</v>
      </c>
      <c r="E155" s="90">
        <v>1</v>
      </c>
      <c r="F155" s="90">
        <v>12</v>
      </c>
      <c r="G155" s="90">
        <v>0</v>
      </c>
      <c r="H155" s="90">
        <v>60</v>
      </c>
      <c r="I155" s="90">
        <v>60</v>
      </c>
      <c r="J155" s="91" t="s">
        <v>45</v>
      </c>
    </row>
    <row r="156" spans="1:11" x14ac:dyDescent="0.3">
      <c r="A156" s="92">
        <v>46276</v>
      </c>
      <c r="B156" s="91" t="s">
        <v>70</v>
      </c>
      <c r="C156" s="91">
        <v>0</v>
      </c>
      <c r="D156" s="91">
        <v>2</v>
      </c>
      <c r="E156" s="90">
        <v>1</v>
      </c>
      <c r="F156" s="90">
        <v>12</v>
      </c>
      <c r="G156" s="90">
        <v>0</v>
      </c>
      <c r="H156" s="90">
        <v>24</v>
      </c>
      <c r="I156" s="90">
        <v>24</v>
      </c>
      <c r="J156" s="91" t="s">
        <v>45</v>
      </c>
    </row>
    <row r="157" spans="1:11" x14ac:dyDescent="0.3">
      <c r="A157" s="92">
        <v>46276</v>
      </c>
      <c r="B157" s="91" t="s">
        <v>71</v>
      </c>
      <c r="C157" s="91">
        <v>0</v>
      </c>
      <c r="D157" s="91">
        <v>12</v>
      </c>
      <c r="E157" s="90">
        <v>2</v>
      </c>
      <c r="F157" s="90">
        <v>23</v>
      </c>
      <c r="G157" s="90">
        <v>0</v>
      </c>
      <c r="H157" s="90">
        <v>276</v>
      </c>
      <c r="I157" s="90">
        <v>276</v>
      </c>
      <c r="J157" s="91" t="s">
        <v>45</v>
      </c>
    </row>
    <row r="158" spans="1:11" x14ac:dyDescent="0.3">
      <c r="A158" s="92">
        <v>46276</v>
      </c>
      <c r="B158" s="91" t="s">
        <v>72</v>
      </c>
      <c r="C158" s="91">
        <v>0</v>
      </c>
      <c r="D158" s="91">
        <v>2</v>
      </c>
      <c r="E158" s="90">
        <v>3</v>
      </c>
      <c r="F158" s="90">
        <v>34</v>
      </c>
      <c r="G158" s="90">
        <v>0</v>
      </c>
      <c r="H158" s="90">
        <v>68</v>
      </c>
      <c r="I158" s="90">
        <v>68</v>
      </c>
      <c r="J158" s="91" t="s">
        <v>45</v>
      </c>
    </row>
    <row r="159" spans="1:11" x14ac:dyDescent="0.3">
      <c r="A159" s="92">
        <v>46276</v>
      </c>
      <c r="B159" s="91" t="s">
        <v>73</v>
      </c>
      <c r="C159" s="91">
        <v>64</v>
      </c>
      <c r="D159" s="91">
        <v>4</v>
      </c>
      <c r="E159" s="90">
        <v>2</v>
      </c>
      <c r="F159" s="90">
        <v>23</v>
      </c>
      <c r="G159" s="90">
        <v>128</v>
      </c>
      <c r="H159" s="90">
        <v>92</v>
      </c>
      <c r="I159" s="90">
        <v>220</v>
      </c>
      <c r="J159" s="91" t="s">
        <v>45</v>
      </c>
    </row>
    <row r="160" spans="1:11" x14ac:dyDescent="0.3">
      <c r="A160" s="92">
        <v>46276</v>
      </c>
      <c r="B160" s="91" t="s">
        <v>78</v>
      </c>
      <c r="C160" s="91">
        <v>0</v>
      </c>
      <c r="D160" s="91">
        <v>6</v>
      </c>
      <c r="E160" s="90">
        <v>1</v>
      </c>
      <c r="F160" s="90">
        <v>12</v>
      </c>
      <c r="G160" s="90">
        <v>0</v>
      </c>
      <c r="H160" s="90">
        <v>72</v>
      </c>
      <c r="I160" s="90">
        <v>72</v>
      </c>
      <c r="J160" s="91" t="s">
        <v>45</v>
      </c>
    </row>
    <row r="161" spans="1:10" x14ac:dyDescent="0.3">
      <c r="A161" s="92">
        <v>46276</v>
      </c>
      <c r="B161" s="91" t="s">
        <v>79</v>
      </c>
      <c r="C161" s="91">
        <v>0</v>
      </c>
      <c r="D161" s="91">
        <v>1</v>
      </c>
      <c r="E161" s="90">
        <v>1</v>
      </c>
      <c r="F161" s="90">
        <v>12</v>
      </c>
      <c r="G161" s="90">
        <v>0</v>
      </c>
      <c r="H161" s="90">
        <v>12</v>
      </c>
      <c r="I161" s="90">
        <v>12</v>
      </c>
      <c r="J161" s="91" t="s">
        <v>45</v>
      </c>
    </row>
    <row r="162" spans="1:10" x14ac:dyDescent="0.3">
      <c r="H162" t="s">
        <v>87</v>
      </c>
      <c r="I162" s="89">
        <f>SUM(I152:I161)</f>
        <v>870</v>
      </c>
    </row>
  </sheetData>
  <sortState ref="A124:J162">
    <sortCondition ref="J124:J16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>
    <pageSetUpPr fitToPage="1"/>
  </sheetPr>
  <dimension ref="A1:F14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:F11"/>
    </sheetView>
  </sheetViews>
  <sheetFormatPr defaultRowHeight="14.4" x14ac:dyDescent="0.3"/>
  <cols>
    <col min="1" max="6" width="15.77734375" customWidth="1"/>
  </cols>
  <sheetData>
    <row r="1" spans="1:6" ht="17.399999999999999" x14ac:dyDescent="0.3">
      <c r="A1" s="93" t="s">
        <v>55</v>
      </c>
      <c r="B1" s="94"/>
      <c r="C1" s="94"/>
      <c r="D1" s="94"/>
      <c r="E1" s="94"/>
      <c r="F1" s="94"/>
    </row>
    <row r="2" spans="1:6" x14ac:dyDescent="0.3">
      <c r="A2" s="6" t="s">
        <v>80</v>
      </c>
    </row>
    <row r="3" spans="1:6" ht="28.2" thickBot="1" x14ac:dyDescent="0.35">
      <c r="A3" s="12" t="s">
        <v>46</v>
      </c>
      <c r="B3" s="12" t="s">
        <v>2</v>
      </c>
      <c r="C3" s="12" t="s">
        <v>47</v>
      </c>
      <c r="D3" s="12" t="s">
        <v>48</v>
      </c>
      <c r="E3" s="12" t="s">
        <v>49</v>
      </c>
      <c r="F3" s="12" t="s">
        <v>50</v>
      </c>
    </row>
    <row r="4" spans="1:6" x14ac:dyDescent="0.3">
      <c r="A4" s="13">
        <v>46272</v>
      </c>
      <c r="B4" s="14" t="s">
        <v>9</v>
      </c>
      <c r="C4" s="14">
        <v>18</v>
      </c>
      <c r="D4" s="14">
        <v>0</v>
      </c>
      <c r="E4" s="14">
        <v>0</v>
      </c>
      <c r="F4" s="15">
        <f t="shared" ref="F4:F10" si="0">C4+D4-E4</f>
        <v>18</v>
      </c>
    </row>
    <row r="5" spans="1:6" x14ac:dyDescent="0.3">
      <c r="A5" s="21">
        <v>46272</v>
      </c>
      <c r="B5" s="22" t="s">
        <v>12</v>
      </c>
      <c r="C5" s="22">
        <v>24</v>
      </c>
      <c r="D5" s="22">
        <v>0</v>
      </c>
      <c r="E5" s="22">
        <v>0</v>
      </c>
      <c r="F5" s="23">
        <f t="shared" si="0"/>
        <v>24</v>
      </c>
    </row>
    <row r="6" spans="1:6" x14ac:dyDescent="0.3">
      <c r="A6" s="16">
        <v>46272</v>
      </c>
      <c r="B6" s="11" t="s">
        <v>14</v>
      </c>
      <c r="C6" s="11">
        <v>66</v>
      </c>
      <c r="D6" s="11">
        <v>3</v>
      </c>
      <c r="E6" s="11">
        <v>3</v>
      </c>
      <c r="F6" s="17">
        <f t="shared" si="0"/>
        <v>66</v>
      </c>
    </row>
    <row r="7" spans="1:6" x14ac:dyDescent="0.3">
      <c r="A7" s="21">
        <v>46272</v>
      </c>
      <c r="B7" s="22" t="s">
        <v>17</v>
      </c>
      <c r="C7" s="22">
        <v>3</v>
      </c>
      <c r="D7" s="22">
        <v>0</v>
      </c>
      <c r="E7" s="22">
        <v>0</v>
      </c>
      <c r="F7" s="23">
        <f t="shared" si="0"/>
        <v>3</v>
      </c>
    </row>
    <row r="8" spans="1:6" x14ac:dyDescent="0.3">
      <c r="A8" s="16">
        <v>46272</v>
      </c>
      <c r="B8" s="11" t="s">
        <v>19</v>
      </c>
      <c r="C8" s="11">
        <v>39</v>
      </c>
      <c r="D8" s="11">
        <v>2</v>
      </c>
      <c r="E8" s="11">
        <v>2</v>
      </c>
      <c r="F8" s="17">
        <f t="shared" si="0"/>
        <v>39</v>
      </c>
    </row>
    <row r="9" spans="1:6" x14ac:dyDescent="0.3">
      <c r="A9" s="21">
        <v>46272</v>
      </c>
      <c r="B9" s="22" t="s">
        <v>21</v>
      </c>
      <c r="C9" s="22">
        <v>17</v>
      </c>
      <c r="D9" s="22">
        <v>1</v>
      </c>
      <c r="E9" s="22">
        <v>1</v>
      </c>
      <c r="F9" s="23">
        <f t="shared" si="0"/>
        <v>17</v>
      </c>
    </row>
    <row r="10" spans="1:6" ht="15" thickBot="1" x14ac:dyDescent="0.35">
      <c r="A10" s="18">
        <v>46272</v>
      </c>
      <c r="B10" s="19" t="s">
        <v>23</v>
      </c>
      <c r="C10" s="19">
        <v>0</v>
      </c>
      <c r="D10" s="19">
        <v>0</v>
      </c>
      <c r="E10" s="19">
        <v>0</v>
      </c>
      <c r="F10" s="20">
        <f t="shared" si="0"/>
        <v>0</v>
      </c>
    </row>
    <row r="11" spans="1:6" ht="15.6" thickTop="1" thickBot="1" x14ac:dyDescent="0.35">
      <c r="A11" s="26" t="s">
        <v>58</v>
      </c>
      <c r="B11" s="24" t="s">
        <v>45</v>
      </c>
      <c r="C11" s="24">
        <f>SUM(C4:C10)</f>
        <v>167</v>
      </c>
      <c r="D11" s="24">
        <f>SUM(D4:D10)</f>
        <v>6</v>
      </c>
      <c r="E11" s="24">
        <f>SUM(E4:E10)</f>
        <v>6</v>
      </c>
      <c r="F11" s="25">
        <f>SUM(F4:F10)</f>
        <v>167</v>
      </c>
    </row>
    <row r="12" spans="1:6" ht="15" thickBot="1" x14ac:dyDescent="0.35"/>
    <row r="13" spans="1:6" x14ac:dyDescent="0.3">
      <c r="A13" s="13">
        <v>46273</v>
      </c>
      <c r="B13" s="14" t="s">
        <v>9</v>
      </c>
      <c r="C13" s="14">
        <f>F4</f>
        <v>18</v>
      </c>
      <c r="D13" s="14">
        <v>0</v>
      </c>
      <c r="E13" s="14">
        <v>1</v>
      </c>
      <c r="F13" s="15">
        <f t="shared" ref="F13:F19" si="1">C13+D13-E13</f>
        <v>17</v>
      </c>
    </row>
    <row r="14" spans="1:6" x14ac:dyDescent="0.3">
      <c r="A14" s="21">
        <v>46273</v>
      </c>
      <c r="B14" s="22" t="s">
        <v>12</v>
      </c>
      <c r="C14" s="22">
        <f t="shared" ref="C14:C19" si="2">F5</f>
        <v>24</v>
      </c>
      <c r="D14" s="22">
        <v>0</v>
      </c>
      <c r="E14" s="22">
        <v>1</v>
      </c>
      <c r="F14" s="23">
        <f t="shared" si="1"/>
        <v>23</v>
      </c>
    </row>
    <row r="15" spans="1:6" x14ac:dyDescent="0.3">
      <c r="A15" s="16">
        <v>46273</v>
      </c>
      <c r="B15" s="11" t="s">
        <v>14</v>
      </c>
      <c r="C15" s="11">
        <f t="shared" si="2"/>
        <v>66</v>
      </c>
      <c r="D15" s="11">
        <v>0</v>
      </c>
      <c r="E15" s="11">
        <v>11</v>
      </c>
      <c r="F15" s="17">
        <f t="shared" si="1"/>
        <v>55</v>
      </c>
    </row>
    <row r="16" spans="1:6" x14ac:dyDescent="0.3">
      <c r="A16" s="21">
        <v>46273</v>
      </c>
      <c r="B16" s="22" t="s">
        <v>17</v>
      </c>
      <c r="C16" s="22">
        <f t="shared" si="2"/>
        <v>3</v>
      </c>
      <c r="D16" s="22">
        <v>0</v>
      </c>
      <c r="E16" s="22">
        <v>0</v>
      </c>
      <c r="F16" s="23">
        <f t="shared" si="1"/>
        <v>3</v>
      </c>
    </row>
    <row r="17" spans="1:6" x14ac:dyDescent="0.3">
      <c r="A17" s="16">
        <v>46273</v>
      </c>
      <c r="B17" s="11" t="s">
        <v>19</v>
      </c>
      <c r="C17" s="11">
        <f t="shared" si="2"/>
        <v>39</v>
      </c>
      <c r="D17" s="11">
        <v>0</v>
      </c>
      <c r="E17" s="11">
        <v>3</v>
      </c>
      <c r="F17" s="17">
        <f t="shared" si="1"/>
        <v>36</v>
      </c>
    </row>
    <row r="18" spans="1:6" x14ac:dyDescent="0.3">
      <c r="A18" s="21">
        <v>46273</v>
      </c>
      <c r="B18" s="22" t="s">
        <v>21</v>
      </c>
      <c r="C18" s="22">
        <f t="shared" si="2"/>
        <v>17</v>
      </c>
      <c r="D18" s="22">
        <v>0</v>
      </c>
      <c r="E18" s="22">
        <v>0</v>
      </c>
      <c r="F18" s="23">
        <f t="shared" si="1"/>
        <v>17</v>
      </c>
    </row>
    <row r="19" spans="1:6" ht="15" thickBot="1" x14ac:dyDescent="0.35">
      <c r="A19" s="18">
        <v>46273</v>
      </c>
      <c r="B19" s="19" t="s">
        <v>23</v>
      </c>
      <c r="C19" s="19">
        <f t="shared" si="2"/>
        <v>0</v>
      </c>
      <c r="D19" s="19">
        <v>0</v>
      </c>
      <c r="E19" s="19">
        <v>0</v>
      </c>
      <c r="F19" s="20">
        <f t="shared" si="1"/>
        <v>0</v>
      </c>
    </row>
    <row r="20" spans="1:6" ht="15.6" thickTop="1" thickBot="1" x14ac:dyDescent="0.35">
      <c r="A20" s="26" t="s">
        <v>59</v>
      </c>
      <c r="B20" s="24" t="s">
        <v>43</v>
      </c>
      <c r="C20" s="24">
        <f>SUM(C13:C19)</f>
        <v>167</v>
      </c>
      <c r="D20" s="24">
        <f>SUM(D13:D19)</f>
        <v>0</v>
      </c>
      <c r="E20" s="24">
        <f>SUM(E13:E19)</f>
        <v>16</v>
      </c>
      <c r="F20" s="25">
        <f>SUM(F13:F19)</f>
        <v>151</v>
      </c>
    </row>
    <row r="21" spans="1:6" ht="15" thickBot="1" x14ac:dyDescent="0.35"/>
    <row r="22" spans="1:6" x14ac:dyDescent="0.3">
      <c r="A22" s="13">
        <v>46274</v>
      </c>
      <c r="B22" s="14" t="s">
        <v>9</v>
      </c>
      <c r="C22" s="14">
        <f>F13</f>
        <v>17</v>
      </c>
      <c r="D22" s="14">
        <v>0</v>
      </c>
      <c r="E22" s="14">
        <v>0</v>
      </c>
      <c r="F22" s="15">
        <f t="shared" ref="F22:F28" si="3">C22+D22-E22</f>
        <v>17</v>
      </c>
    </row>
    <row r="23" spans="1:6" x14ac:dyDescent="0.3">
      <c r="A23" s="21">
        <v>46274</v>
      </c>
      <c r="B23" s="22" t="s">
        <v>12</v>
      </c>
      <c r="C23" s="22">
        <f t="shared" ref="C23:C28" si="4">F14</f>
        <v>23</v>
      </c>
      <c r="D23" s="22">
        <v>0</v>
      </c>
      <c r="E23" s="22">
        <v>1</v>
      </c>
      <c r="F23" s="23">
        <f t="shared" si="3"/>
        <v>22</v>
      </c>
    </row>
    <row r="24" spans="1:6" x14ac:dyDescent="0.3">
      <c r="A24" s="16">
        <v>46274</v>
      </c>
      <c r="B24" s="11" t="s">
        <v>14</v>
      </c>
      <c r="C24" s="11">
        <f t="shared" si="4"/>
        <v>55</v>
      </c>
      <c r="D24" s="11">
        <v>0</v>
      </c>
      <c r="E24" s="11">
        <v>8</v>
      </c>
      <c r="F24" s="17">
        <f t="shared" si="3"/>
        <v>47</v>
      </c>
    </row>
    <row r="25" spans="1:6" x14ac:dyDescent="0.3">
      <c r="A25" s="21">
        <v>46274</v>
      </c>
      <c r="B25" s="22" t="s">
        <v>17</v>
      </c>
      <c r="C25" s="22">
        <f t="shared" si="4"/>
        <v>3</v>
      </c>
      <c r="D25" s="22">
        <v>0</v>
      </c>
      <c r="E25" s="22">
        <v>0</v>
      </c>
      <c r="F25" s="23">
        <f t="shared" si="3"/>
        <v>3</v>
      </c>
    </row>
    <row r="26" spans="1:6" x14ac:dyDescent="0.3">
      <c r="A26" s="16">
        <v>46274</v>
      </c>
      <c r="B26" s="11" t="s">
        <v>19</v>
      </c>
      <c r="C26" s="11">
        <f t="shared" si="4"/>
        <v>36</v>
      </c>
      <c r="D26" s="11">
        <v>0</v>
      </c>
      <c r="E26" s="11">
        <v>5</v>
      </c>
      <c r="F26" s="17">
        <f t="shared" si="3"/>
        <v>31</v>
      </c>
    </row>
    <row r="27" spans="1:6" x14ac:dyDescent="0.3">
      <c r="A27" s="21">
        <v>46274</v>
      </c>
      <c r="B27" s="22" t="s">
        <v>21</v>
      </c>
      <c r="C27" s="22">
        <f t="shared" si="4"/>
        <v>17</v>
      </c>
      <c r="D27" s="22">
        <v>0</v>
      </c>
      <c r="E27" s="22">
        <v>1</v>
      </c>
      <c r="F27" s="23">
        <f t="shared" si="3"/>
        <v>16</v>
      </c>
    </row>
    <row r="28" spans="1:6" ht="15" thickBot="1" x14ac:dyDescent="0.35">
      <c r="A28" s="18">
        <v>46274</v>
      </c>
      <c r="B28" s="19" t="s">
        <v>23</v>
      </c>
      <c r="C28" s="19">
        <f t="shared" si="4"/>
        <v>0</v>
      </c>
      <c r="D28" s="19">
        <v>0</v>
      </c>
      <c r="E28" s="19">
        <v>0</v>
      </c>
      <c r="F28" s="20">
        <f t="shared" si="3"/>
        <v>0</v>
      </c>
    </row>
    <row r="29" spans="1:6" ht="15.6" thickTop="1" thickBot="1" x14ac:dyDescent="0.35">
      <c r="A29" s="26" t="s">
        <v>60</v>
      </c>
      <c r="B29" s="24" t="s">
        <v>43</v>
      </c>
      <c r="C29" s="24">
        <f>SUM(C22:C28)</f>
        <v>151</v>
      </c>
      <c r="D29" s="24">
        <f>SUM(D22:D28)</f>
        <v>0</v>
      </c>
      <c r="E29" s="24">
        <f>SUM(E22:E28)</f>
        <v>15</v>
      </c>
      <c r="F29" s="25">
        <f>SUM(F22:F28)</f>
        <v>136</v>
      </c>
    </row>
    <row r="30" spans="1:6" ht="15" thickBot="1" x14ac:dyDescent="0.35"/>
    <row r="31" spans="1:6" x14ac:dyDescent="0.3">
      <c r="A31" s="13">
        <v>46275</v>
      </c>
      <c r="B31" s="14" t="s">
        <v>9</v>
      </c>
      <c r="C31" s="14">
        <f>F22</f>
        <v>17</v>
      </c>
      <c r="D31" s="14">
        <v>0</v>
      </c>
      <c r="E31" s="14">
        <v>0</v>
      </c>
      <c r="F31" s="15">
        <f t="shared" ref="F31:F37" si="5">C31+D31-E31</f>
        <v>17</v>
      </c>
    </row>
    <row r="32" spans="1:6" x14ac:dyDescent="0.3">
      <c r="A32" s="21">
        <v>46275</v>
      </c>
      <c r="B32" s="22" t="s">
        <v>12</v>
      </c>
      <c r="C32" s="22">
        <f t="shared" ref="C32:C37" si="6">F23</f>
        <v>22</v>
      </c>
      <c r="D32" s="22">
        <v>10</v>
      </c>
      <c r="E32" s="22">
        <v>0</v>
      </c>
      <c r="F32" s="23">
        <f t="shared" si="5"/>
        <v>32</v>
      </c>
    </row>
    <row r="33" spans="1:6" x14ac:dyDescent="0.3">
      <c r="A33" s="16">
        <v>46275</v>
      </c>
      <c r="B33" s="11" t="s">
        <v>14</v>
      </c>
      <c r="C33" s="11">
        <f t="shared" si="6"/>
        <v>47</v>
      </c>
      <c r="D33" s="11">
        <v>129</v>
      </c>
      <c r="E33" s="11">
        <v>10</v>
      </c>
      <c r="F33" s="17">
        <f t="shared" si="5"/>
        <v>166</v>
      </c>
    </row>
    <row r="34" spans="1:6" x14ac:dyDescent="0.3">
      <c r="A34" s="21">
        <v>46275</v>
      </c>
      <c r="B34" s="22" t="s">
        <v>17</v>
      </c>
      <c r="C34" s="22">
        <f t="shared" si="6"/>
        <v>3</v>
      </c>
      <c r="D34" s="22">
        <v>2</v>
      </c>
      <c r="E34" s="22">
        <v>0</v>
      </c>
      <c r="F34" s="23">
        <f t="shared" si="5"/>
        <v>5</v>
      </c>
    </row>
    <row r="35" spans="1:6" x14ac:dyDescent="0.3">
      <c r="A35" s="16">
        <v>46275</v>
      </c>
      <c r="B35" s="11" t="s">
        <v>19</v>
      </c>
      <c r="C35" s="11">
        <f t="shared" si="6"/>
        <v>31</v>
      </c>
      <c r="D35" s="11">
        <v>0</v>
      </c>
      <c r="E35" s="11">
        <v>8</v>
      </c>
      <c r="F35" s="17">
        <f t="shared" si="5"/>
        <v>23</v>
      </c>
    </row>
    <row r="36" spans="1:6" x14ac:dyDescent="0.3">
      <c r="A36" s="21">
        <v>46275</v>
      </c>
      <c r="B36" s="22" t="s">
        <v>21</v>
      </c>
      <c r="C36" s="22">
        <f t="shared" si="6"/>
        <v>16</v>
      </c>
      <c r="D36" s="22">
        <v>10</v>
      </c>
      <c r="E36" s="22">
        <v>1</v>
      </c>
      <c r="F36" s="23">
        <f t="shared" si="5"/>
        <v>25</v>
      </c>
    </row>
    <row r="37" spans="1:6" ht="15" thickBot="1" x14ac:dyDescent="0.35">
      <c r="A37" s="18">
        <v>46275</v>
      </c>
      <c r="B37" s="19" t="s">
        <v>23</v>
      </c>
      <c r="C37" s="19">
        <f t="shared" si="6"/>
        <v>0</v>
      </c>
      <c r="D37" s="19">
        <v>27</v>
      </c>
      <c r="E37" s="19">
        <v>1</v>
      </c>
      <c r="F37" s="20">
        <f t="shared" si="5"/>
        <v>26</v>
      </c>
    </row>
    <row r="38" spans="1:6" ht="15.6" thickTop="1" thickBot="1" x14ac:dyDescent="0.35">
      <c r="A38" s="26" t="s">
        <v>61</v>
      </c>
      <c r="B38" s="24" t="s">
        <v>43</v>
      </c>
      <c r="C38" s="24">
        <f>SUM(C31:C37)</f>
        <v>136</v>
      </c>
      <c r="D38" s="24">
        <f>SUM(D31:D37)</f>
        <v>178</v>
      </c>
      <c r="E38" s="24">
        <f>SUM(E31:E37)</f>
        <v>20</v>
      </c>
      <c r="F38" s="25">
        <f>SUM(F31:F37)</f>
        <v>294</v>
      </c>
    </row>
    <row r="39" spans="1:6" ht="15" thickBot="1" x14ac:dyDescent="0.35"/>
    <row r="40" spans="1:6" x14ac:dyDescent="0.3">
      <c r="A40" s="13">
        <v>46276</v>
      </c>
      <c r="B40" s="14" t="s">
        <v>9</v>
      </c>
      <c r="C40" s="14">
        <f>F31</f>
        <v>17</v>
      </c>
      <c r="D40" s="14">
        <v>0</v>
      </c>
      <c r="E40" s="14">
        <v>5</v>
      </c>
      <c r="F40" s="15">
        <f t="shared" ref="F40:F46" si="7">C40+D40-E40</f>
        <v>12</v>
      </c>
    </row>
    <row r="41" spans="1:6" x14ac:dyDescent="0.3">
      <c r="A41" s="21">
        <v>46276</v>
      </c>
      <c r="B41" s="22" t="s">
        <v>12</v>
      </c>
      <c r="C41" s="22">
        <f t="shared" ref="C41:C46" si="8">F32</f>
        <v>32</v>
      </c>
      <c r="D41" s="22">
        <v>0</v>
      </c>
      <c r="E41" s="22">
        <v>2</v>
      </c>
      <c r="F41" s="23">
        <f t="shared" si="7"/>
        <v>30</v>
      </c>
    </row>
    <row r="42" spans="1:6" x14ac:dyDescent="0.3">
      <c r="A42" s="16">
        <v>46276</v>
      </c>
      <c r="B42" s="11" t="s">
        <v>14</v>
      </c>
      <c r="C42" s="11">
        <f t="shared" si="8"/>
        <v>166</v>
      </c>
      <c r="D42" s="11">
        <v>0</v>
      </c>
      <c r="E42" s="11">
        <v>12</v>
      </c>
      <c r="F42" s="17">
        <f t="shared" si="7"/>
        <v>154</v>
      </c>
    </row>
    <row r="43" spans="1:6" x14ac:dyDescent="0.3">
      <c r="A43" s="21">
        <v>46276</v>
      </c>
      <c r="B43" s="22" t="s">
        <v>17</v>
      </c>
      <c r="C43" s="22">
        <f t="shared" si="8"/>
        <v>5</v>
      </c>
      <c r="D43" s="22">
        <v>0</v>
      </c>
      <c r="E43" s="22">
        <v>2</v>
      </c>
      <c r="F43" s="23">
        <f t="shared" si="7"/>
        <v>3</v>
      </c>
    </row>
    <row r="44" spans="1:6" x14ac:dyDescent="0.3">
      <c r="A44" s="16">
        <v>46276</v>
      </c>
      <c r="B44" s="11" t="s">
        <v>19</v>
      </c>
      <c r="C44" s="11">
        <f t="shared" si="8"/>
        <v>23</v>
      </c>
      <c r="D44" s="11">
        <v>64</v>
      </c>
      <c r="E44" s="11">
        <v>4</v>
      </c>
      <c r="F44" s="17">
        <f t="shared" si="7"/>
        <v>83</v>
      </c>
    </row>
    <row r="45" spans="1:6" x14ac:dyDescent="0.3">
      <c r="A45" s="21">
        <v>46276</v>
      </c>
      <c r="B45" s="22" t="s">
        <v>21</v>
      </c>
      <c r="C45" s="22">
        <f t="shared" si="8"/>
        <v>25</v>
      </c>
      <c r="D45" s="22">
        <v>0</v>
      </c>
      <c r="E45" s="22">
        <v>6</v>
      </c>
      <c r="F45" s="23">
        <f t="shared" si="7"/>
        <v>19</v>
      </c>
    </row>
    <row r="46" spans="1:6" ht="15" thickBot="1" x14ac:dyDescent="0.35">
      <c r="A46" s="18">
        <v>46276</v>
      </c>
      <c r="B46" s="19" t="s">
        <v>23</v>
      </c>
      <c r="C46" s="19">
        <f t="shared" si="8"/>
        <v>26</v>
      </c>
      <c r="D46" s="19">
        <v>0</v>
      </c>
      <c r="E46" s="19">
        <v>1</v>
      </c>
      <c r="F46" s="20">
        <f t="shared" si="7"/>
        <v>25</v>
      </c>
    </row>
    <row r="47" spans="1:6" ht="15.6" thickTop="1" thickBot="1" x14ac:dyDescent="0.35">
      <c r="A47" s="26" t="s">
        <v>62</v>
      </c>
      <c r="B47" s="24" t="s">
        <v>45</v>
      </c>
      <c r="C47" s="24">
        <f>SUM(C40:C46)</f>
        <v>294</v>
      </c>
      <c r="D47" s="24">
        <f>SUM(D40:D46)</f>
        <v>64</v>
      </c>
      <c r="E47" s="24">
        <f>SUM(E40:E46)</f>
        <v>32</v>
      </c>
      <c r="F47" s="25">
        <f>SUM(F40:F46)</f>
        <v>326</v>
      </c>
    </row>
    <row r="48" spans="1:6" ht="15" thickBot="1" x14ac:dyDescent="0.35"/>
    <row r="49" spans="1:6" x14ac:dyDescent="0.3">
      <c r="A49" s="13">
        <v>46277</v>
      </c>
      <c r="B49" s="14" t="s">
        <v>9</v>
      </c>
      <c r="C49" s="14">
        <f>F40</f>
        <v>12</v>
      </c>
      <c r="D49" s="14">
        <v>0</v>
      </c>
      <c r="E49" s="14">
        <v>1</v>
      </c>
      <c r="F49" s="15">
        <f t="shared" ref="F49:F55" si="9">C49+D49-E49</f>
        <v>11</v>
      </c>
    </row>
    <row r="50" spans="1:6" x14ac:dyDescent="0.3">
      <c r="A50" s="21">
        <v>46277</v>
      </c>
      <c r="B50" s="22" t="s">
        <v>12</v>
      </c>
      <c r="C50" s="22">
        <f t="shared" ref="C50:C55" si="10">F41</f>
        <v>30</v>
      </c>
      <c r="D50" s="22">
        <v>0</v>
      </c>
      <c r="E50" s="22">
        <v>2</v>
      </c>
      <c r="F50" s="23">
        <f t="shared" si="9"/>
        <v>28</v>
      </c>
    </row>
    <row r="51" spans="1:6" x14ac:dyDescent="0.3">
      <c r="A51" s="16">
        <v>46277</v>
      </c>
      <c r="B51" s="11" t="s">
        <v>14</v>
      </c>
      <c r="C51" s="11">
        <f t="shared" si="10"/>
        <v>154</v>
      </c>
      <c r="D51" s="11">
        <v>0</v>
      </c>
      <c r="E51" s="11">
        <v>5</v>
      </c>
      <c r="F51" s="17">
        <f t="shared" si="9"/>
        <v>149</v>
      </c>
    </row>
    <row r="52" spans="1:6" x14ac:dyDescent="0.3">
      <c r="A52" s="21">
        <v>46277</v>
      </c>
      <c r="B52" s="22" t="s">
        <v>17</v>
      </c>
      <c r="C52" s="22">
        <f t="shared" si="10"/>
        <v>3</v>
      </c>
      <c r="D52" s="22">
        <v>0</v>
      </c>
      <c r="E52" s="22">
        <v>1</v>
      </c>
      <c r="F52" s="23">
        <f t="shared" si="9"/>
        <v>2</v>
      </c>
    </row>
    <row r="53" spans="1:6" x14ac:dyDescent="0.3">
      <c r="A53" s="16">
        <v>46277</v>
      </c>
      <c r="B53" s="11" t="s">
        <v>19</v>
      </c>
      <c r="C53" s="11">
        <f t="shared" si="10"/>
        <v>83</v>
      </c>
      <c r="D53" s="11">
        <v>0</v>
      </c>
      <c r="E53" s="11">
        <v>8</v>
      </c>
      <c r="F53" s="17">
        <f t="shared" si="9"/>
        <v>75</v>
      </c>
    </row>
    <row r="54" spans="1:6" x14ac:dyDescent="0.3">
      <c r="A54" s="21">
        <v>46277</v>
      </c>
      <c r="B54" s="22" t="s">
        <v>21</v>
      </c>
      <c r="C54" s="22">
        <f t="shared" si="10"/>
        <v>19</v>
      </c>
      <c r="D54" s="22">
        <v>0</v>
      </c>
      <c r="E54" s="22">
        <v>4</v>
      </c>
      <c r="F54" s="23">
        <f t="shared" si="9"/>
        <v>15</v>
      </c>
    </row>
    <row r="55" spans="1:6" ht="15" thickBot="1" x14ac:dyDescent="0.35">
      <c r="A55" s="18">
        <v>46277</v>
      </c>
      <c r="B55" s="19" t="s">
        <v>23</v>
      </c>
      <c r="C55" s="19">
        <f t="shared" si="10"/>
        <v>25</v>
      </c>
      <c r="D55" s="19">
        <v>0</v>
      </c>
      <c r="E55" s="19">
        <v>1</v>
      </c>
      <c r="F55" s="20">
        <f t="shared" si="9"/>
        <v>24</v>
      </c>
    </row>
    <row r="56" spans="1:6" ht="15.6" thickTop="1" thickBot="1" x14ac:dyDescent="0.35">
      <c r="A56" s="26" t="s">
        <v>63</v>
      </c>
      <c r="B56" s="24" t="s">
        <v>43</v>
      </c>
      <c r="C56" s="24">
        <f>SUM(C49:C55)</f>
        <v>326</v>
      </c>
      <c r="D56" s="24">
        <f>SUM(D49:D55)</f>
        <v>0</v>
      </c>
      <c r="E56" s="24">
        <f>SUM(E49:E55)</f>
        <v>22</v>
      </c>
      <c r="F56" s="25">
        <f>SUM(F49:F55)</f>
        <v>304</v>
      </c>
    </row>
    <row r="57" spans="1:6" ht="15" thickBot="1" x14ac:dyDescent="0.35"/>
    <row r="58" spans="1:6" x14ac:dyDescent="0.3">
      <c r="A58" s="13">
        <v>46278</v>
      </c>
      <c r="B58" s="14" t="s">
        <v>9</v>
      </c>
      <c r="C58" s="14">
        <f>F49</f>
        <v>11</v>
      </c>
      <c r="D58" s="14">
        <v>0</v>
      </c>
      <c r="E58" s="14">
        <v>4</v>
      </c>
      <c r="F58" s="15">
        <f t="shared" ref="F58:F64" si="11">C58+D58-E58</f>
        <v>7</v>
      </c>
    </row>
    <row r="59" spans="1:6" x14ac:dyDescent="0.3">
      <c r="A59" s="21">
        <v>46278</v>
      </c>
      <c r="B59" s="22" t="s">
        <v>12</v>
      </c>
      <c r="C59" s="22">
        <f t="shared" ref="C59:C64" si="12">F50</f>
        <v>28</v>
      </c>
      <c r="D59" s="22">
        <v>0</v>
      </c>
      <c r="E59" s="22">
        <v>2</v>
      </c>
      <c r="F59" s="23">
        <f t="shared" si="11"/>
        <v>26</v>
      </c>
    </row>
    <row r="60" spans="1:6" x14ac:dyDescent="0.3">
      <c r="A60" s="16">
        <v>46278</v>
      </c>
      <c r="B60" s="11" t="s">
        <v>14</v>
      </c>
      <c r="C60" s="11">
        <f t="shared" si="12"/>
        <v>149</v>
      </c>
      <c r="D60" s="11">
        <v>0</v>
      </c>
      <c r="E60" s="11">
        <v>2</v>
      </c>
      <c r="F60" s="17">
        <f t="shared" si="11"/>
        <v>147</v>
      </c>
    </row>
    <row r="61" spans="1:6" x14ac:dyDescent="0.3">
      <c r="A61" s="21">
        <v>46278</v>
      </c>
      <c r="B61" s="22" t="s">
        <v>17</v>
      </c>
      <c r="C61" s="22">
        <f t="shared" si="12"/>
        <v>2</v>
      </c>
      <c r="D61" s="22">
        <v>2</v>
      </c>
      <c r="E61" s="22">
        <v>2</v>
      </c>
      <c r="F61" s="23">
        <f t="shared" si="11"/>
        <v>2</v>
      </c>
    </row>
    <row r="62" spans="1:6" x14ac:dyDescent="0.3">
      <c r="A62" s="16">
        <v>46278</v>
      </c>
      <c r="B62" s="11" t="s">
        <v>19</v>
      </c>
      <c r="C62" s="11">
        <f t="shared" si="12"/>
        <v>75</v>
      </c>
      <c r="D62" s="11">
        <v>0</v>
      </c>
      <c r="E62" s="11">
        <v>4</v>
      </c>
      <c r="F62" s="17">
        <f t="shared" si="11"/>
        <v>71</v>
      </c>
    </row>
    <row r="63" spans="1:6" x14ac:dyDescent="0.3">
      <c r="A63" s="21">
        <v>46278</v>
      </c>
      <c r="B63" s="22" t="s">
        <v>21</v>
      </c>
      <c r="C63" s="22">
        <f t="shared" si="12"/>
        <v>15</v>
      </c>
      <c r="D63" s="22">
        <v>0</v>
      </c>
      <c r="E63" s="22">
        <v>0</v>
      </c>
      <c r="F63" s="23">
        <f t="shared" si="11"/>
        <v>15</v>
      </c>
    </row>
    <row r="64" spans="1:6" ht="15" thickBot="1" x14ac:dyDescent="0.35">
      <c r="A64" s="18">
        <v>46278</v>
      </c>
      <c r="B64" s="19" t="s">
        <v>23</v>
      </c>
      <c r="C64" s="19">
        <f t="shared" si="12"/>
        <v>24</v>
      </c>
      <c r="D64" s="19">
        <v>0</v>
      </c>
      <c r="E64" s="19">
        <v>0</v>
      </c>
      <c r="F64" s="20">
        <f t="shared" si="11"/>
        <v>24</v>
      </c>
    </row>
    <row r="65" spans="1:6" ht="15.6" thickTop="1" thickBot="1" x14ac:dyDescent="0.35">
      <c r="A65" s="26" t="s">
        <v>64</v>
      </c>
      <c r="B65" s="24" t="s">
        <v>43</v>
      </c>
      <c r="C65" s="24">
        <f>SUM(C58:C64)</f>
        <v>304</v>
      </c>
      <c r="D65" s="24">
        <f>SUM(D58:D64)</f>
        <v>2</v>
      </c>
      <c r="E65" s="24">
        <f>SUM(E58:E64)</f>
        <v>14</v>
      </c>
      <c r="F65" s="25">
        <f>SUM(F58:F64)</f>
        <v>292</v>
      </c>
    </row>
    <row r="66" spans="1:6" s="9" customFormat="1" ht="15" thickBot="1" x14ac:dyDescent="0.35"/>
    <row r="67" spans="1:6" s="9" customFormat="1" x14ac:dyDescent="0.3">
      <c r="A67" s="13"/>
      <c r="B67" s="14" t="str">
        <f t="shared" ref="B67:C73" si="13">B4</f>
        <v>Ak10</v>
      </c>
      <c r="C67" s="14">
        <f t="shared" si="13"/>
        <v>18</v>
      </c>
      <c r="D67" s="14">
        <f>D4+D13+D22+D31+D40+D49+D58</f>
        <v>0</v>
      </c>
      <c r="E67" s="14">
        <f>E4+E13+E22+E31+E40+E49+E58</f>
        <v>11</v>
      </c>
      <c r="F67" s="15">
        <f t="shared" ref="F67:F73" si="14">F58</f>
        <v>7</v>
      </c>
    </row>
    <row r="68" spans="1:6" s="9" customFormat="1" x14ac:dyDescent="0.3">
      <c r="A68" s="21"/>
      <c r="B68" s="22" t="str">
        <f t="shared" si="13"/>
        <v>Ak15</v>
      </c>
      <c r="C68" s="22">
        <f t="shared" si="13"/>
        <v>24</v>
      </c>
      <c r="D68" s="22">
        <f t="shared" ref="D68:D73" si="15">D5+D14+D23+D32+D41+D50+D59</f>
        <v>10</v>
      </c>
      <c r="E68" s="22">
        <f t="shared" ref="E68:E73" si="16">E5+E14+E23+E32+E41+E50+E59</f>
        <v>8</v>
      </c>
      <c r="F68" s="23">
        <f t="shared" si="14"/>
        <v>26</v>
      </c>
    </row>
    <row r="69" spans="1:6" s="9" customFormat="1" x14ac:dyDescent="0.3">
      <c r="A69" s="16"/>
      <c r="B69" s="11" t="str">
        <f t="shared" si="13"/>
        <v>G1800</v>
      </c>
      <c r="C69" s="11">
        <f t="shared" si="13"/>
        <v>66</v>
      </c>
      <c r="D69" s="11">
        <f t="shared" si="15"/>
        <v>132</v>
      </c>
      <c r="E69" s="11">
        <f t="shared" si="16"/>
        <v>51</v>
      </c>
      <c r="F69" s="17">
        <f t="shared" si="14"/>
        <v>147</v>
      </c>
    </row>
    <row r="70" spans="1:6" s="9" customFormat="1" x14ac:dyDescent="0.3">
      <c r="A70" s="21"/>
      <c r="B70" s="22" t="str">
        <f t="shared" si="13"/>
        <v>G3500</v>
      </c>
      <c r="C70" s="22">
        <f t="shared" si="13"/>
        <v>3</v>
      </c>
      <c r="D70" s="22">
        <f t="shared" si="15"/>
        <v>4</v>
      </c>
      <c r="E70" s="22">
        <f t="shared" si="16"/>
        <v>5</v>
      </c>
      <c r="F70" s="23">
        <f t="shared" si="14"/>
        <v>2</v>
      </c>
    </row>
    <row r="71" spans="1:6" s="9" customFormat="1" x14ac:dyDescent="0.3">
      <c r="A71" s="16"/>
      <c r="B71" s="11" t="str">
        <f t="shared" si="13"/>
        <v>G800</v>
      </c>
      <c r="C71" s="11">
        <f t="shared" si="13"/>
        <v>39</v>
      </c>
      <c r="D71" s="11">
        <f t="shared" si="15"/>
        <v>66</v>
      </c>
      <c r="E71" s="11">
        <f t="shared" si="16"/>
        <v>34</v>
      </c>
      <c r="F71" s="17">
        <f t="shared" si="14"/>
        <v>71</v>
      </c>
    </row>
    <row r="72" spans="1:6" s="9" customFormat="1" x14ac:dyDescent="0.3">
      <c r="A72" s="21"/>
      <c r="B72" s="22" t="str">
        <f t="shared" si="13"/>
        <v>MiK</v>
      </c>
      <c r="C72" s="22">
        <f t="shared" si="13"/>
        <v>17</v>
      </c>
      <c r="D72" s="22">
        <f t="shared" si="15"/>
        <v>11</v>
      </c>
      <c r="E72" s="22">
        <f t="shared" si="16"/>
        <v>13</v>
      </c>
      <c r="F72" s="23">
        <f t="shared" si="14"/>
        <v>15</v>
      </c>
    </row>
    <row r="73" spans="1:6" s="9" customFormat="1" ht="15" thickBot="1" x14ac:dyDescent="0.35">
      <c r="A73" s="18"/>
      <c r="B73" s="19" t="str">
        <f t="shared" si="13"/>
        <v>MiP</v>
      </c>
      <c r="C73" s="19">
        <f t="shared" si="13"/>
        <v>0</v>
      </c>
      <c r="D73" s="19">
        <f t="shared" si="15"/>
        <v>27</v>
      </c>
      <c r="E73" s="19">
        <f t="shared" si="16"/>
        <v>3</v>
      </c>
      <c r="F73" s="20">
        <f t="shared" si="14"/>
        <v>24</v>
      </c>
    </row>
    <row r="74" spans="1:6" s="9" customFormat="1" ht="15.6" thickTop="1" thickBot="1" x14ac:dyDescent="0.35">
      <c r="A74" s="26" t="s">
        <v>68</v>
      </c>
      <c r="B74" s="24" t="s">
        <v>54</v>
      </c>
      <c r="C74" s="24">
        <f>SUM(C67:C73)</f>
        <v>167</v>
      </c>
      <c r="D74" s="24">
        <f>SUM(D67:D73)</f>
        <v>250</v>
      </c>
      <c r="E74" s="24">
        <f>SUM(E67:E73)</f>
        <v>125</v>
      </c>
      <c r="F74" s="25">
        <f>SUM(F67:F73)</f>
        <v>292</v>
      </c>
    </row>
    <row r="75" spans="1:6" ht="15" thickBot="1" x14ac:dyDescent="0.35"/>
    <row r="76" spans="1:6" x14ac:dyDescent="0.3">
      <c r="A76" s="13">
        <f t="shared" ref="A76:A82" si="17">A58+1</f>
        <v>46279</v>
      </c>
      <c r="B76" s="14" t="str">
        <f t="shared" ref="B76:B82" si="18">B58</f>
        <v>Ak10</v>
      </c>
      <c r="C76" s="14">
        <f t="shared" ref="C76:C82" si="19">F58</f>
        <v>7</v>
      </c>
      <c r="D76" s="14">
        <v>10</v>
      </c>
      <c r="E76" s="14">
        <v>1</v>
      </c>
      <c r="F76" s="15">
        <f>C76+D76-E76</f>
        <v>16</v>
      </c>
    </row>
    <row r="77" spans="1:6" x14ac:dyDescent="0.3">
      <c r="A77" s="21">
        <f t="shared" si="17"/>
        <v>46279</v>
      </c>
      <c r="B77" s="22" t="str">
        <f t="shared" si="18"/>
        <v>Ak15</v>
      </c>
      <c r="C77" s="22">
        <f t="shared" si="19"/>
        <v>26</v>
      </c>
      <c r="D77" s="22">
        <v>0</v>
      </c>
      <c r="E77" s="22">
        <v>2</v>
      </c>
      <c r="F77" s="23">
        <f t="shared" ref="F77:F82" si="20">C77+D77-E77</f>
        <v>24</v>
      </c>
    </row>
    <row r="78" spans="1:6" x14ac:dyDescent="0.3">
      <c r="A78" s="16">
        <f t="shared" si="17"/>
        <v>46279</v>
      </c>
      <c r="B78" s="11" t="str">
        <f t="shared" si="18"/>
        <v>G1800</v>
      </c>
      <c r="C78" s="11">
        <f t="shared" si="19"/>
        <v>147</v>
      </c>
      <c r="D78" s="11">
        <v>0</v>
      </c>
      <c r="E78" s="11">
        <v>7</v>
      </c>
      <c r="F78" s="17">
        <f t="shared" si="20"/>
        <v>140</v>
      </c>
    </row>
    <row r="79" spans="1:6" x14ac:dyDescent="0.3">
      <c r="A79" s="21">
        <f t="shared" si="17"/>
        <v>46279</v>
      </c>
      <c r="B79" s="22" t="str">
        <f t="shared" si="18"/>
        <v>G3500</v>
      </c>
      <c r="C79" s="22">
        <f t="shared" si="19"/>
        <v>2</v>
      </c>
      <c r="D79" s="22">
        <v>14</v>
      </c>
      <c r="E79" s="22">
        <v>0</v>
      </c>
      <c r="F79" s="23">
        <f t="shared" si="20"/>
        <v>16</v>
      </c>
    </row>
    <row r="80" spans="1:6" x14ac:dyDescent="0.3">
      <c r="A80" s="16">
        <f t="shared" si="17"/>
        <v>46279</v>
      </c>
      <c r="B80" s="11" t="str">
        <f t="shared" si="18"/>
        <v>G800</v>
      </c>
      <c r="C80" s="11">
        <f t="shared" si="19"/>
        <v>71</v>
      </c>
      <c r="D80" s="11">
        <v>0</v>
      </c>
      <c r="E80" s="11">
        <v>5</v>
      </c>
      <c r="F80" s="17">
        <f t="shared" si="20"/>
        <v>66</v>
      </c>
    </row>
    <row r="81" spans="1:6" x14ac:dyDescent="0.3">
      <c r="A81" s="21">
        <f t="shared" si="17"/>
        <v>46279</v>
      </c>
      <c r="B81" s="22" t="str">
        <f t="shared" si="18"/>
        <v>MiK</v>
      </c>
      <c r="C81" s="22">
        <f t="shared" si="19"/>
        <v>15</v>
      </c>
      <c r="D81" s="22">
        <v>20</v>
      </c>
      <c r="E81" s="22">
        <v>2</v>
      </c>
      <c r="F81" s="23">
        <f t="shared" si="20"/>
        <v>33</v>
      </c>
    </row>
    <row r="82" spans="1:6" ht="15" thickBot="1" x14ac:dyDescent="0.35">
      <c r="A82" s="18">
        <f t="shared" si="17"/>
        <v>46279</v>
      </c>
      <c r="B82" s="19" t="str">
        <f t="shared" si="18"/>
        <v>MiP</v>
      </c>
      <c r="C82" s="19">
        <f t="shared" si="19"/>
        <v>24</v>
      </c>
      <c r="D82" s="19">
        <v>0</v>
      </c>
      <c r="E82" s="19">
        <v>1</v>
      </c>
      <c r="F82" s="20">
        <f t="shared" si="20"/>
        <v>23</v>
      </c>
    </row>
    <row r="83" spans="1:6" ht="15.6" thickTop="1" thickBot="1" x14ac:dyDescent="0.35">
      <c r="A83" s="26" t="str">
        <f>A11</f>
        <v>ПН</v>
      </c>
      <c r="B83" s="24" t="s">
        <v>45</v>
      </c>
      <c r="C83" s="24">
        <f>SUM(C76:C82)</f>
        <v>292</v>
      </c>
      <c r="D83" s="24">
        <f>SUM(D76:D82)</f>
        <v>44</v>
      </c>
      <c r="E83" s="24">
        <f>SUM(E76:E82)</f>
        <v>18</v>
      </c>
      <c r="F83" s="25">
        <f>SUM(F76:F82)</f>
        <v>318</v>
      </c>
    </row>
    <row r="84" spans="1:6" ht="15" thickBot="1" x14ac:dyDescent="0.35"/>
    <row r="85" spans="1:6" x14ac:dyDescent="0.3">
      <c r="A85" s="13">
        <f>A76+1</f>
        <v>46280</v>
      </c>
      <c r="B85" s="14" t="str">
        <f t="shared" ref="B85:B91" si="21">B76</f>
        <v>Ak10</v>
      </c>
      <c r="C85" s="14">
        <f>F76</f>
        <v>16</v>
      </c>
      <c r="D85" s="14">
        <v>0</v>
      </c>
      <c r="E85" s="14">
        <v>0</v>
      </c>
      <c r="F85" s="15">
        <f>C85+D85-E85</f>
        <v>16</v>
      </c>
    </row>
    <row r="86" spans="1:6" x14ac:dyDescent="0.3">
      <c r="A86" s="21">
        <f t="shared" ref="A86:A91" si="22">A77+1</f>
        <v>46280</v>
      </c>
      <c r="B86" s="22" t="str">
        <f t="shared" si="21"/>
        <v>Ak15</v>
      </c>
      <c r="C86" s="22">
        <f t="shared" ref="C86:C91" si="23">F77</f>
        <v>24</v>
      </c>
      <c r="D86" s="22">
        <v>0</v>
      </c>
      <c r="E86" s="22">
        <v>0</v>
      </c>
      <c r="F86" s="23">
        <f t="shared" ref="F86:F91" si="24">C86+D86-E86</f>
        <v>24</v>
      </c>
    </row>
    <row r="87" spans="1:6" x14ac:dyDescent="0.3">
      <c r="A87" s="16">
        <f t="shared" si="22"/>
        <v>46280</v>
      </c>
      <c r="B87" s="11" t="str">
        <f t="shared" si="21"/>
        <v>G1800</v>
      </c>
      <c r="C87" s="11">
        <f t="shared" si="23"/>
        <v>140</v>
      </c>
      <c r="D87" s="11">
        <v>0</v>
      </c>
      <c r="E87" s="11">
        <v>0</v>
      </c>
      <c r="F87" s="17">
        <f t="shared" si="24"/>
        <v>140</v>
      </c>
    </row>
    <row r="88" spans="1:6" x14ac:dyDescent="0.3">
      <c r="A88" s="21">
        <f t="shared" si="22"/>
        <v>46280</v>
      </c>
      <c r="B88" s="22" t="str">
        <f t="shared" si="21"/>
        <v>G3500</v>
      </c>
      <c r="C88" s="22">
        <f t="shared" si="23"/>
        <v>16</v>
      </c>
      <c r="D88" s="22">
        <v>0</v>
      </c>
      <c r="E88" s="22">
        <v>0</v>
      </c>
      <c r="F88" s="23">
        <f t="shared" si="24"/>
        <v>16</v>
      </c>
    </row>
    <row r="89" spans="1:6" x14ac:dyDescent="0.3">
      <c r="A89" s="16">
        <f t="shared" si="22"/>
        <v>46280</v>
      </c>
      <c r="B89" s="11" t="str">
        <f t="shared" si="21"/>
        <v>G800</v>
      </c>
      <c r="C89" s="11">
        <f t="shared" si="23"/>
        <v>66</v>
      </c>
      <c r="D89" s="11">
        <v>0</v>
      </c>
      <c r="E89" s="11">
        <v>0</v>
      </c>
      <c r="F89" s="17">
        <f t="shared" si="24"/>
        <v>66</v>
      </c>
    </row>
    <row r="90" spans="1:6" x14ac:dyDescent="0.3">
      <c r="A90" s="21">
        <f t="shared" si="22"/>
        <v>46280</v>
      </c>
      <c r="B90" s="22" t="str">
        <f t="shared" si="21"/>
        <v>MiK</v>
      </c>
      <c r="C90" s="22">
        <f t="shared" si="23"/>
        <v>33</v>
      </c>
      <c r="D90" s="22">
        <v>0</v>
      </c>
      <c r="E90" s="22">
        <v>0</v>
      </c>
      <c r="F90" s="23">
        <f t="shared" si="24"/>
        <v>33</v>
      </c>
    </row>
    <row r="91" spans="1:6" ht="15" thickBot="1" x14ac:dyDescent="0.35">
      <c r="A91" s="18">
        <f t="shared" si="22"/>
        <v>46280</v>
      </c>
      <c r="B91" s="19" t="str">
        <f t="shared" si="21"/>
        <v>MiP</v>
      </c>
      <c r="C91" s="19">
        <f t="shared" si="23"/>
        <v>23</v>
      </c>
      <c r="D91" s="19">
        <v>0</v>
      </c>
      <c r="E91" s="19">
        <v>0</v>
      </c>
      <c r="F91" s="20">
        <f t="shared" si="24"/>
        <v>23</v>
      </c>
    </row>
    <row r="92" spans="1:6" ht="15.6" thickTop="1" thickBot="1" x14ac:dyDescent="0.35">
      <c r="A92" s="26" t="str">
        <f>A20</f>
        <v>ВТ</v>
      </c>
      <c r="B92" s="24" t="str">
        <f>B20</f>
        <v>Завалишин Д.Л.</v>
      </c>
      <c r="C92" s="24">
        <f>SUM(C85:C91)</f>
        <v>318</v>
      </c>
      <c r="D92" s="24">
        <f>SUM(D85:D91)</f>
        <v>0</v>
      </c>
      <c r="E92" s="24">
        <f>SUM(E85:E91)</f>
        <v>0</v>
      </c>
      <c r="F92" s="25">
        <f>SUM(F85:F91)</f>
        <v>318</v>
      </c>
    </row>
    <row r="93" spans="1:6" ht="15" thickBot="1" x14ac:dyDescent="0.35"/>
    <row r="94" spans="1:6" x14ac:dyDescent="0.3">
      <c r="A94" s="13">
        <f>A85+1</f>
        <v>46281</v>
      </c>
      <c r="B94" s="14" t="str">
        <f t="shared" ref="B94:B100" si="25">B85</f>
        <v>Ak10</v>
      </c>
      <c r="C94" s="14">
        <f>F85</f>
        <v>16</v>
      </c>
      <c r="D94" s="14">
        <v>0</v>
      </c>
      <c r="E94" s="14">
        <v>0</v>
      </c>
      <c r="F94" s="15">
        <f>C94+D94-E94</f>
        <v>16</v>
      </c>
    </row>
    <row r="95" spans="1:6" x14ac:dyDescent="0.3">
      <c r="A95" s="21">
        <f t="shared" ref="A95:A100" si="26">A86+1</f>
        <v>46281</v>
      </c>
      <c r="B95" s="22" t="str">
        <f t="shared" si="25"/>
        <v>Ak15</v>
      </c>
      <c r="C95" s="22">
        <f t="shared" ref="C95:C100" si="27">F86</f>
        <v>24</v>
      </c>
      <c r="D95" s="22">
        <v>0</v>
      </c>
      <c r="E95" s="22">
        <v>0</v>
      </c>
      <c r="F95" s="23">
        <f t="shared" ref="F95:F100" si="28">C95+D95-E95</f>
        <v>24</v>
      </c>
    </row>
    <row r="96" spans="1:6" x14ac:dyDescent="0.3">
      <c r="A96" s="16">
        <f t="shared" si="26"/>
        <v>46281</v>
      </c>
      <c r="B96" s="11" t="str">
        <f t="shared" si="25"/>
        <v>G1800</v>
      </c>
      <c r="C96" s="11">
        <f t="shared" si="27"/>
        <v>140</v>
      </c>
      <c r="D96" s="11">
        <v>0</v>
      </c>
      <c r="E96" s="11">
        <v>0</v>
      </c>
      <c r="F96" s="17">
        <f t="shared" si="28"/>
        <v>140</v>
      </c>
    </row>
    <row r="97" spans="1:6" x14ac:dyDescent="0.3">
      <c r="A97" s="21">
        <f t="shared" si="26"/>
        <v>46281</v>
      </c>
      <c r="B97" s="22" t="str">
        <f t="shared" si="25"/>
        <v>G3500</v>
      </c>
      <c r="C97" s="22">
        <f t="shared" si="27"/>
        <v>16</v>
      </c>
      <c r="D97" s="22">
        <v>0</v>
      </c>
      <c r="E97" s="22">
        <v>0</v>
      </c>
      <c r="F97" s="23">
        <f t="shared" si="28"/>
        <v>16</v>
      </c>
    </row>
    <row r="98" spans="1:6" x14ac:dyDescent="0.3">
      <c r="A98" s="16">
        <f t="shared" si="26"/>
        <v>46281</v>
      </c>
      <c r="B98" s="11" t="str">
        <f t="shared" si="25"/>
        <v>G800</v>
      </c>
      <c r="C98" s="11">
        <f t="shared" si="27"/>
        <v>66</v>
      </c>
      <c r="D98" s="11">
        <v>0</v>
      </c>
      <c r="E98" s="11">
        <v>0</v>
      </c>
      <c r="F98" s="17">
        <f t="shared" si="28"/>
        <v>66</v>
      </c>
    </row>
    <row r="99" spans="1:6" x14ac:dyDescent="0.3">
      <c r="A99" s="21">
        <f t="shared" si="26"/>
        <v>46281</v>
      </c>
      <c r="B99" s="22" t="str">
        <f t="shared" si="25"/>
        <v>MiK</v>
      </c>
      <c r="C99" s="22">
        <f t="shared" si="27"/>
        <v>33</v>
      </c>
      <c r="D99" s="22">
        <v>0</v>
      </c>
      <c r="E99" s="22">
        <v>0</v>
      </c>
      <c r="F99" s="23">
        <f t="shared" si="28"/>
        <v>33</v>
      </c>
    </row>
    <row r="100" spans="1:6" ht="15" thickBot="1" x14ac:dyDescent="0.35">
      <c r="A100" s="18">
        <f t="shared" si="26"/>
        <v>46281</v>
      </c>
      <c r="B100" s="19" t="str">
        <f t="shared" si="25"/>
        <v>MiP</v>
      </c>
      <c r="C100" s="19">
        <f t="shared" si="27"/>
        <v>23</v>
      </c>
      <c r="D100" s="19">
        <v>0</v>
      </c>
      <c r="E100" s="19">
        <v>0</v>
      </c>
      <c r="F100" s="20">
        <f t="shared" si="28"/>
        <v>23</v>
      </c>
    </row>
    <row r="101" spans="1:6" ht="15.6" thickTop="1" thickBot="1" x14ac:dyDescent="0.35">
      <c r="A101" s="26" t="str">
        <f>A29</f>
        <v>СР</v>
      </c>
      <c r="B101" s="24" t="str">
        <f>B29</f>
        <v>Завалишин Д.Л.</v>
      </c>
      <c r="C101" s="24">
        <f>SUM(C94:C100)</f>
        <v>318</v>
      </c>
      <c r="D101" s="24">
        <f>SUM(D94:D100)</f>
        <v>0</v>
      </c>
      <c r="E101" s="24">
        <f>SUM(E94:E100)</f>
        <v>0</v>
      </c>
      <c r="F101" s="25">
        <f>SUM(F94:F100)</f>
        <v>318</v>
      </c>
    </row>
    <row r="102" spans="1:6" ht="15" thickBot="1" x14ac:dyDescent="0.35"/>
    <row r="103" spans="1:6" x14ac:dyDescent="0.3">
      <c r="A103" s="13">
        <f>A94+1</f>
        <v>46282</v>
      </c>
      <c r="B103" s="14" t="str">
        <f t="shared" ref="B103:B109" si="29">B94</f>
        <v>Ak10</v>
      </c>
      <c r="C103" s="14">
        <f>F94</f>
        <v>16</v>
      </c>
      <c r="D103" s="14">
        <v>0</v>
      </c>
      <c r="E103" s="14">
        <v>0</v>
      </c>
      <c r="F103" s="15">
        <f>C103+D103-E103</f>
        <v>16</v>
      </c>
    </row>
    <row r="104" spans="1:6" x14ac:dyDescent="0.3">
      <c r="A104" s="21">
        <f t="shared" ref="A104:A109" si="30">A95+1</f>
        <v>46282</v>
      </c>
      <c r="B104" s="22" t="str">
        <f t="shared" si="29"/>
        <v>Ak15</v>
      </c>
      <c r="C104" s="22">
        <f t="shared" ref="C104:C109" si="31">F95</f>
        <v>24</v>
      </c>
      <c r="D104" s="22">
        <v>0</v>
      </c>
      <c r="E104" s="22">
        <v>0</v>
      </c>
      <c r="F104" s="23">
        <f t="shared" ref="F104:F109" si="32">C104+D104-E104</f>
        <v>24</v>
      </c>
    </row>
    <row r="105" spans="1:6" x14ac:dyDescent="0.3">
      <c r="A105" s="16">
        <f t="shared" si="30"/>
        <v>46282</v>
      </c>
      <c r="B105" s="11" t="str">
        <f t="shared" si="29"/>
        <v>G1800</v>
      </c>
      <c r="C105" s="11">
        <f t="shared" si="31"/>
        <v>140</v>
      </c>
      <c r="D105" s="11">
        <v>0</v>
      </c>
      <c r="E105" s="11">
        <v>0</v>
      </c>
      <c r="F105" s="17">
        <f t="shared" si="32"/>
        <v>140</v>
      </c>
    </row>
    <row r="106" spans="1:6" x14ac:dyDescent="0.3">
      <c r="A106" s="21">
        <f t="shared" si="30"/>
        <v>46282</v>
      </c>
      <c r="B106" s="22" t="str">
        <f t="shared" si="29"/>
        <v>G3500</v>
      </c>
      <c r="C106" s="22">
        <f t="shared" si="31"/>
        <v>16</v>
      </c>
      <c r="D106" s="22">
        <v>0</v>
      </c>
      <c r="E106" s="22">
        <v>0</v>
      </c>
      <c r="F106" s="23">
        <f t="shared" si="32"/>
        <v>16</v>
      </c>
    </row>
    <row r="107" spans="1:6" x14ac:dyDescent="0.3">
      <c r="A107" s="16">
        <f t="shared" si="30"/>
        <v>46282</v>
      </c>
      <c r="B107" s="11" t="str">
        <f t="shared" si="29"/>
        <v>G800</v>
      </c>
      <c r="C107" s="11">
        <f t="shared" si="31"/>
        <v>66</v>
      </c>
      <c r="D107" s="11">
        <v>0</v>
      </c>
      <c r="E107" s="11">
        <v>0</v>
      </c>
      <c r="F107" s="17">
        <f t="shared" si="32"/>
        <v>66</v>
      </c>
    </row>
    <row r="108" spans="1:6" x14ac:dyDescent="0.3">
      <c r="A108" s="21">
        <f t="shared" si="30"/>
        <v>46282</v>
      </c>
      <c r="B108" s="22" t="str">
        <f t="shared" si="29"/>
        <v>MiK</v>
      </c>
      <c r="C108" s="22">
        <f t="shared" si="31"/>
        <v>33</v>
      </c>
      <c r="D108" s="22">
        <v>0</v>
      </c>
      <c r="E108" s="22">
        <v>0</v>
      </c>
      <c r="F108" s="23">
        <f t="shared" si="32"/>
        <v>33</v>
      </c>
    </row>
    <row r="109" spans="1:6" ht="15" thickBot="1" x14ac:dyDescent="0.35">
      <c r="A109" s="18">
        <f t="shared" si="30"/>
        <v>46282</v>
      </c>
      <c r="B109" s="19" t="str">
        <f t="shared" si="29"/>
        <v>MiP</v>
      </c>
      <c r="C109" s="19">
        <f t="shared" si="31"/>
        <v>23</v>
      </c>
      <c r="D109" s="19">
        <v>0</v>
      </c>
      <c r="E109" s="19">
        <v>0</v>
      </c>
      <c r="F109" s="20">
        <f t="shared" si="32"/>
        <v>23</v>
      </c>
    </row>
    <row r="110" spans="1:6" ht="15.6" thickTop="1" thickBot="1" x14ac:dyDescent="0.35">
      <c r="A110" s="26" t="str">
        <f>A38</f>
        <v>ЧТ</v>
      </c>
      <c r="B110" s="24" t="str">
        <f>B38</f>
        <v>Завалишин Д.Л.</v>
      </c>
      <c r="C110" s="24">
        <f>SUM(C103:C109)</f>
        <v>318</v>
      </c>
      <c r="D110" s="24">
        <f>SUM(D103:D109)</f>
        <v>0</v>
      </c>
      <c r="E110" s="24">
        <f>SUM(E103:E109)</f>
        <v>0</v>
      </c>
      <c r="F110" s="25">
        <f>SUM(F103:F109)</f>
        <v>318</v>
      </c>
    </row>
    <row r="111" spans="1:6" ht="15" thickBot="1" x14ac:dyDescent="0.35"/>
    <row r="112" spans="1:6" x14ac:dyDescent="0.3">
      <c r="A112" s="13">
        <f>A103+1</f>
        <v>46283</v>
      </c>
      <c r="B112" s="14" t="str">
        <f t="shared" ref="B112:B118" si="33">B103</f>
        <v>Ak10</v>
      </c>
      <c r="C112" s="14">
        <f>F103</f>
        <v>16</v>
      </c>
      <c r="D112" s="14">
        <v>0</v>
      </c>
      <c r="E112" s="14">
        <v>0</v>
      </c>
      <c r="F112" s="15">
        <f>C112+D112-E112</f>
        <v>16</v>
      </c>
    </row>
    <row r="113" spans="1:6" x14ac:dyDescent="0.3">
      <c r="A113" s="21">
        <f t="shared" ref="A113:A118" si="34">A104+1</f>
        <v>46283</v>
      </c>
      <c r="B113" s="22" t="str">
        <f t="shared" si="33"/>
        <v>Ak15</v>
      </c>
      <c r="C113" s="22">
        <f t="shared" ref="C113:C118" si="35">F104</f>
        <v>24</v>
      </c>
      <c r="D113" s="22">
        <v>0</v>
      </c>
      <c r="E113" s="22">
        <v>0</v>
      </c>
      <c r="F113" s="23">
        <f t="shared" ref="F113:F118" si="36">C113+D113-E113</f>
        <v>24</v>
      </c>
    </row>
    <row r="114" spans="1:6" x14ac:dyDescent="0.3">
      <c r="A114" s="16">
        <f t="shared" si="34"/>
        <v>46283</v>
      </c>
      <c r="B114" s="11" t="str">
        <f t="shared" si="33"/>
        <v>G1800</v>
      </c>
      <c r="C114" s="11">
        <f t="shared" si="35"/>
        <v>140</v>
      </c>
      <c r="D114" s="11">
        <v>0</v>
      </c>
      <c r="E114" s="11">
        <v>0</v>
      </c>
      <c r="F114" s="17">
        <f t="shared" si="36"/>
        <v>140</v>
      </c>
    </row>
    <row r="115" spans="1:6" x14ac:dyDescent="0.3">
      <c r="A115" s="21">
        <f t="shared" si="34"/>
        <v>46283</v>
      </c>
      <c r="B115" s="22" t="str">
        <f t="shared" si="33"/>
        <v>G3500</v>
      </c>
      <c r="C115" s="22">
        <f t="shared" si="35"/>
        <v>16</v>
      </c>
      <c r="D115" s="22">
        <v>0</v>
      </c>
      <c r="E115" s="22">
        <v>0</v>
      </c>
      <c r="F115" s="23">
        <f t="shared" si="36"/>
        <v>16</v>
      </c>
    </row>
    <row r="116" spans="1:6" x14ac:dyDescent="0.3">
      <c r="A116" s="16">
        <f t="shared" si="34"/>
        <v>46283</v>
      </c>
      <c r="B116" s="11" t="str">
        <f t="shared" si="33"/>
        <v>G800</v>
      </c>
      <c r="C116" s="11">
        <f t="shared" si="35"/>
        <v>66</v>
      </c>
      <c r="D116" s="11">
        <v>0</v>
      </c>
      <c r="E116" s="11">
        <v>0</v>
      </c>
      <c r="F116" s="17">
        <f t="shared" si="36"/>
        <v>66</v>
      </c>
    </row>
    <row r="117" spans="1:6" x14ac:dyDescent="0.3">
      <c r="A117" s="21">
        <f t="shared" si="34"/>
        <v>46283</v>
      </c>
      <c r="B117" s="22" t="str">
        <f t="shared" si="33"/>
        <v>MiK</v>
      </c>
      <c r="C117" s="22">
        <f t="shared" si="35"/>
        <v>33</v>
      </c>
      <c r="D117" s="22">
        <v>0</v>
      </c>
      <c r="E117" s="22">
        <v>0</v>
      </c>
      <c r="F117" s="23">
        <f t="shared" si="36"/>
        <v>33</v>
      </c>
    </row>
    <row r="118" spans="1:6" ht="15" thickBot="1" x14ac:dyDescent="0.35">
      <c r="A118" s="18">
        <f t="shared" si="34"/>
        <v>46283</v>
      </c>
      <c r="B118" s="19" t="str">
        <f t="shared" si="33"/>
        <v>MiP</v>
      </c>
      <c r="C118" s="19">
        <f t="shared" si="35"/>
        <v>23</v>
      </c>
      <c r="D118" s="19">
        <v>0</v>
      </c>
      <c r="E118" s="19">
        <v>0</v>
      </c>
      <c r="F118" s="20">
        <f t="shared" si="36"/>
        <v>23</v>
      </c>
    </row>
    <row r="119" spans="1:6" ht="15.6" thickTop="1" thickBot="1" x14ac:dyDescent="0.35">
      <c r="A119" s="26" t="str">
        <f>A47</f>
        <v>ПТ</v>
      </c>
      <c r="B119" s="24" t="str">
        <f>B47</f>
        <v>Пузанов Д.В.</v>
      </c>
      <c r="C119" s="24">
        <f>SUM(C112:C118)</f>
        <v>318</v>
      </c>
      <c r="D119" s="24">
        <f>SUM(D112:D118)</f>
        <v>0</v>
      </c>
      <c r="E119" s="24">
        <f>SUM(E112:E118)</f>
        <v>0</v>
      </c>
      <c r="F119" s="25">
        <f>SUM(F112:F118)</f>
        <v>318</v>
      </c>
    </row>
    <row r="120" spans="1:6" ht="15" thickBot="1" x14ac:dyDescent="0.35"/>
    <row r="121" spans="1:6" x14ac:dyDescent="0.3">
      <c r="A121" s="13">
        <f>A112+1</f>
        <v>46284</v>
      </c>
      <c r="B121" s="14" t="str">
        <f t="shared" ref="B121:B127" si="37">B112</f>
        <v>Ak10</v>
      </c>
      <c r="C121" s="14">
        <f>F112</f>
        <v>16</v>
      </c>
      <c r="D121" s="14">
        <v>0</v>
      </c>
      <c r="E121" s="14">
        <v>0</v>
      </c>
      <c r="F121" s="15">
        <f>C121+D121-E121</f>
        <v>16</v>
      </c>
    </row>
    <row r="122" spans="1:6" x14ac:dyDescent="0.3">
      <c r="A122" s="21">
        <f t="shared" ref="A122:A127" si="38">A113+1</f>
        <v>46284</v>
      </c>
      <c r="B122" s="22" t="str">
        <f t="shared" si="37"/>
        <v>Ak15</v>
      </c>
      <c r="C122" s="22">
        <f t="shared" ref="C122:C127" si="39">F113</f>
        <v>24</v>
      </c>
      <c r="D122" s="22">
        <v>0</v>
      </c>
      <c r="E122" s="22">
        <v>0</v>
      </c>
      <c r="F122" s="23">
        <f t="shared" ref="F122:F127" si="40">C122+D122-E122</f>
        <v>24</v>
      </c>
    </row>
    <row r="123" spans="1:6" x14ac:dyDescent="0.3">
      <c r="A123" s="16">
        <f t="shared" si="38"/>
        <v>46284</v>
      </c>
      <c r="B123" s="11" t="str">
        <f t="shared" si="37"/>
        <v>G1800</v>
      </c>
      <c r="C123" s="11">
        <f t="shared" si="39"/>
        <v>140</v>
      </c>
      <c r="D123" s="11">
        <v>0</v>
      </c>
      <c r="E123" s="11">
        <v>0</v>
      </c>
      <c r="F123" s="17">
        <f t="shared" si="40"/>
        <v>140</v>
      </c>
    </row>
    <row r="124" spans="1:6" x14ac:dyDescent="0.3">
      <c r="A124" s="21">
        <f t="shared" si="38"/>
        <v>46284</v>
      </c>
      <c r="B124" s="22" t="str">
        <f t="shared" si="37"/>
        <v>G3500</v>
      </c>
      <c r="C124" s="22">
        <f t="shared" si="39"/>
        <v>16</v>
      </c>
      <c r="D124" s="22">
        <v>0</v>
      </c>
      <c r="E124" s="22">
        <v>0</v>
      </c>
      <c r="F124" s="23">
        <f t="shared" si="40"/>
        <v>16</v>
      </c>
    </row>
    <row r="125" spans="1:6" x14ac:dyDescent="0.3">
      <c r="A125" s="16">
        <f t="shared" si="38"/>
        <v>46284</v>
      </c>
      <c r="B125" s="11" t="str">
        <f t="shared" si="37"/>
        <v>G800</v>
      </c>
      <c r="C125" s="11">
        <f t="shared" si="39"/>
        <v>66</v>
      </c>
      <c r="D125" s="11">
        <v>0</v>
      </c>
      <c r="E125" s="11">
        <v>0</v>
      </c>
      <c r="F125" s="17">
        <f t="shared" si="40"/>
        <v>66</v>
      </c>
    </row>
    <row r="126" spans="1:6" x14ac:dyDescent="0.3">
      <c r="A126" s="21">
        <f t="shared" si="38"/>
        <v>46284</v>
      </c>
      <c r="B126" s="22" t="str">
        <f t="shared" si="37"/>
        <v>MiK</v>
      </c>
      <c r="C126" s="22">
        <f t="shared" si="39"/>
        <v>33</v>
      </c>
      <c r="D126" s="22">
        <v>0</v>
      </c>
      <c r="E126" s="22">
        <v>0</v>
      </c>
      <c r="F126" s="23">
        <f t="shared" si="40"/>
        <v>33</v>
      </c>
    </row>
    <row r="127" spans="1:6" ht="15" thickBot="1" x14ac:dyDescent="0.35">
      <c r="A127" s="18">
        <f t="shared" si="38"/>
        <v>46284</v>
      </c>
      <c r="B127" s="19" t="str">
        <f t="shared" si="37"/>
        <v>MiP</v>
      </c>
      <c r="C127" s="19">
        <f t="shared" si="39"/>
        <v>23</v>
      </c>
      <c r="D127" s="19">
        <v>0</v>
      </c>
      <c r="E127" s="19">
        <v>0</v>
      </c>
      <c r="F127" s="20">
        <f t="shared" si="40"/>
        <v>23</v>
      </c>
    </row>
    <row r="128" spans="1:6" ht="15.6" thickTop="1" thickBot="1" x14ac:dyDescent="0.35">
      <c r="A128" s="26" t="str">
        <f>A56</f>
        <v>СБ</v>
      </c>
      <c r="B128" s="24" t="str">
        <f>B56</f>
        <v>Завалишин Д.Л.</v>
      </c>
      <c r="C128" s="24">
        <f>SUM(C121:C127)</f>
        <v>318</v>
      </c>
      <c r="D128" s="24">
        <f>SUM(D121:D127)</f>
        <v>0</v>
      </c>
      <c r="E128" s="24">
        <f>SUM(E121:E127)</f>
        <v>0</v>
      </c>
      <c r="F128" s="25">
        <f>SUM(F121:F127)</f>
        <v>318</v>
      </c>
    </row>
    <row r="129" spans="1:6" ht="15" thickBot="1" x14ac:dyDescent="0.35"/>
    <row r="130" spans="1:6" x14ac:dyDescent="0.3">
      <c r="A130" s="13">
        <f>A121+1</f>
        <v>46285</v>
      </c>
      <c r="B130" s="14" t="str">
        <f t="shared" ref="B130:B136" si="41">B121</f>
        <v>Ak10</v>
      </c>
      <c r="C130" s="14">
        <f>F121</f>
        <v>16</v>
      </c>
      <c r="D130" s="14">
        <v>0</v>
      </c>
      <c r="E130" s="14">
        <v>0</v>
      </c>
      <c r="F130" s="15">
        <f>C130+D130-E130</f>
        <v>16</v>
      </c>
    </row>
    <row r="131" spans="1:6" x14ac:dyDescent="0.3">
      <c r="A131" s="21">
        <f t="shared" ref="A131:A136" si="42">A122+1</f>
        <v>46285</v>
      </c>
      <c r="B131" s="22" t="str">
        <f t="shared" si="41"/>
        <v>Ak15</v>
      </c>
      <c r="C131" s="22">
        <f t="shared" ref="C131:C136" si="43">F122</f>
        <v>24</v>
      </c>
      <c r="D131" s="22">
        <v>0</v>
      </c>
      <c r="E131" s="22">
        <v>0</v>
      </c>
      <c r="F131" s="23">
        <f t="shared" ref="F131:F136" si="44">C131+D131-E131</f>
        <v>24</v>
      </c>
    </row>
    <row r="132" spans="1:6" x14ac:dyDescent="0.3">
      <c r="A132" s="16">
        <f t="shared" si="42"/>
        <v>46285</v>
      </c>
      <c r="B132" s="11" t="str">
        <f t="shared" si="41"/>
        <v>G1800</v>
      </c>
      <c r="C132" s="11">
        <f t="shared" si="43"/>
        <v>140</v>
      </c>
      <c r="D132" s="11">
        <v>0</v>
      </c>
      <c r="E132" s="11">
        <v>0</v>
      </c>
      <c r="F132" s="17">
        <f t="shared" si="44"/>
        <v>140</v>
      </c>
    </row>
    <row r="133" spans="1:6" x14ac:dyDescent="0.3">
      <c r="A133" s="21">
        <f t="shared" si="42"/>
        <v>46285</v>
      </c>
      <c r="B133" s="22" t="str">
        <f t="shared" si="41"/>
        <v>G3500</v>
      </c>
      <c r="C133" s="22">
        <f t="shared" si="43"/>
        <v>16</v>
      </c>
      <c r="D133" s="22">
        <v>0</v>
      </c>
      <c r="E133" s="22">
        <v>0</v>
      </c>
      <c r="F133" s="23">
        <f t="shared" si="44"/>
        <v>16</v>
      </c>
    </row>
    <row r="134" spans="1:6" x14ac:dyDescent="0.3">
      <c r="A134" s="16">
        <f t="shared" si="42"/>
        <v>46285</v>
      </c>
      <c r="B134" s="11" t="str">
        <f t="shared" si="41"/>
        <v>G800</v>
      </c>
      <c r="C134" s="11">
        <f t="shared" si="43"/>
        <v>66</v>
      </c>
      <c r="D134" s="11">
        <v>0</v>
      </c>
      <c r="E134" s="11">
        <v>0</v>
      </c>
      <c r="F134" s="17">
        <f t="shared" si="44"/>
        <v>66</v>
      </c>
    </row>
    <row r="135" spans="1:6" x14ac:dyDescent="0.3">
      <c r="A135" s="21">
        <f t="shared" si="42"/>
        <v>46285</v>
      </c>
      <c r="B135" s="22" t="str">
        <f t="shared" si="41"/>
        <v>MiK</v>
      </c>
      <c r="C135" s="22">
        <f t="shared" si="43"/>
        <v>33</v>
      </c>
      <c r="D135" s="22">
        <v>0</v>
      </c>
      <c r="E135" s="22">
        <v>0</v>
      </c>
      <c r="F135" s="23">
        <f t="shared" si="44"/>
        <v>33</v>
      </c>
    </row>
    <row r="136" spans="1:6" ht="15" thickBot="1" x14ac:dyDescent="0.35">
      <c r="A136" s="18">
        <f t="shared" si="42"/>
        <v>46285</v>
      </c>
      <c r="B136" s="19" t="str">
        <f t="shared" si="41"/>
        <v>MiP</v>
      </c>
      <c r="C136" s="19">
        <f t="shared" si="43"/>
        <v>23</v>
      </c>
      <c r="D136" s="19">
        <v>0</v>
      </c>
      <c r="E136" s="19">
        <v>0</v>
      </c>
      <c r="F136" s="20">
        <f t="shared" si="44"/>
        <v>23</v>
      </c>
    </row>
    <row r="137" spans="1:6" ht="15.6" thickTop="1" thickBot="1" x14ac:dyDescent="0.35">
      <c r="A137" s="26" t="str">
        <f>A65</f>
        <v>ВС</v>
      </c>
      <c r="B137" s="24" t="str">
        <f>B65</f>
        <v>Завалишин Д.Л.</v>
      </c>
      <c r="C137" s="24">
        <f>SUM(C130:C136)</f>
        <v>318</v>
      </c>
      <c r="D137" s="24">
        <f>SUM(D130:D136)</f>
        <v>0</v>
      </c>
      <c r="E137" s="24">
        <f>SUM(E130:E136)</f>
        <v>0</v>
      </c>
      <c r="F137" s="25">
        <f>SUM(F130:F136)</f>
        <v>318</v>
      </c>
    </row>
    <row r="138" spans="1:6" ht="15" thickBot="1" x14ac:dyDescent="0.35"/>
    <row r="139" spans="1:6" x14ac:dyDescent="0.3">
      <c r="A139" s="13"/>
      <c r="B139" s="14" t="str">
        <f t="shared" ref="B139:C145" si="45">B76</f>
        <v>Ak10</v>
      </c>
      <c r="C139" s="14">
        <f t="shared" si="45"/>
        <v>7</v>
      </c>
      <c r="D139" s="14">
        <f>D76+D85+D94+D103+D112+D121+D130</f>
        <v>10</v>
      </c>
      <c r="E139" s="14">
        <f>E76+E85+E94+E103+E112+E121+E130</f>
        <v>1</v>
      </c>
      <c r="F139" s="15">
        <f t="shared" ref="F139:F145" si="46">F130</f>
        <v>16</v>
      </c>
    </row>
    <row r="140" spans="1:6" x14ac:dyDescent="0.3">
      <c r="A140" s="21"/>
      <c r="B140" s="22" t="str">
        <f t="shared" si="45"/>
        <v>Ak15</v>
      </c>
      <c r="C140" s="22">
        <f t="shared" si="45"/>
        <v>26</v>
      </c>
      <c r="D140" s="22">
        <f t="shared" ref="D140:D145" si="47">D77+D86+D95+D104+D113+D122+D131</f>
        <v>0</v>
      </c>
      <c r="E140" s="22">
        <f t="shared" ref="E140:E145" si="48">E77+E86+E95+E104+E113+E122+E131</f>
        <v>2</v>
      </c>
      <c r="F140" s="23">
        <f t="shared" si="46"/>
        <v>24</v>
      </c>
    </row>
    <row r="141" spans="1:6" x14ac:dyDescent="0.3">
      <c r="A141" s="16"/>
      <c r="B141" s="11" t="str">
        <f t="shared" si="45"/>
        <v>G1800</v>
      </c>
      <c r="C141" s="11">
        <f t="shared" si="45"/>
        <v>147</v>
      </c>
      <c r="D141" s="11">
        <f t="shared" si="47"/>
        <v>0</v>
      </c>
      <c r="E141" s="11">
        <f t="shared" si="48"/>
        <v>7</v>
      </c>
      <c r="F141" s="17">
        <f t="shared" si="46"/>
        <v>140</v>
      </c>
    </row>
    <row r="142" spans="1:6" x14ac:dyDescent="0.3">
      <c r="A142" s="21"/>
      <c r="B142" s="22" t="str">
        <f t="shared" si="45"/>
        <v>G3500</v>
      </c>
      <c r="C142" s="22">
        <f t="shared" si="45"/>
        <v>2</v>
      </c>
      <c r="D142" s="22">
        <f t="shared" si="47"/>
        <v>14</v>
      </c>
      <c r="E142" s="22">
        <f t="shared" si="48"/>
        <v>0</v>
      </c>
      <c r="F142" s="23">
        <f t="shared" si="46"/>
        <v>16</v>
      </c>
    </row>
    <row r="143" spans="1:6" x14ac:dyDescent="0.3">
      <c r="A143" s="16"/>
      <c r="B143" s="11" t="str">
        <f t="shared" si="45"/>
        <v>G800</v>
      </c>
      <c r="C143" s="11">
        <f t="shared" si="45"/>
        <v>71</v>
      </c>
      <c r="D143" s="11">
        <f t="shared" si="47"/>
        <v>0</v>
      </c>
      <c r="E143" s="11">
        <f t="shared" si="48"/>
        <v>5</v>
      </c>
      <c r="F143" s="17">
        <f t="shared" si="46"/>
        <v>66</v>
      </c>
    </row>
    <row r="144" spans="1:6" x14ac:dyDescent="0.3">
      <c r="A144" s="21"/>
      <c r="B144" s="22" t="str">
        <f t="shared" si="45"/>
        <v>MiK</v>
      </c>
      <c r="C144" s="22">
        <f t="shared" si="45"/>
        <v>15</v>
      </c>
      <c r="D144" s="22">
        <f t="shared" si="47"/>
        <v>20</v>
      </c>
      <c r="E144" s="22">
        <f t="shared" si="48"/>
        <v>2</v>
      </c>
      <c r="F144" s="23">
        <f t="shared" si="46"/>
        <v>33</v>
      </c>
    </row>
    <row r="145" spans="1:6" ht="15" thickBot="1" x14ac:dyDescent="0.35">
      <c r="A145" s="18"/>
      <c r="B145" s="19" t="str">
        <f t="shared" si="45"/>
        <v>MiP</v>
      </c>
      <c r="C145" s="19">
        <f t="shared" si="45"/>
        <v>24</v>
      </c>
      <c r="D145" s="19">
        <f t="shared" si="47"/>
        <v>0</v>
      </c>
      <c r="E145" s="19">
        <f t="shared" si="48"/>
        <v>1</v>
      </c>
      <c r="F145" s="20">
        <f t="shared" si="46"/>
        <v>23</v>
      </c>
    </row>
    <row r="146" spans="1:6" ht="15.6" thickTop="1" thickBot="1" x14ac:dyDescent="0.35">
      <c r="A146" s="26" t="s">
        <v>68</v>
      </c>
      <c r="B146" s="24" t="s">
        <v>54</v>
      </c>
      <c r="C146" s="24">
        <f>SUM(C139:C145)</f>
        <v>292</v>
      </c>
      <c r="D146" s="24">
        <f>SUM(D139:D145)</f>
        <v>44</v>
      </c>
      <c r="E146" s="24">
        <f>SUM(E139:E145)</f>
        <v>18</v>
      </c>
      <c r="F146" s="25">
        <f>SUM(F139:F145)</f>
        <v>318</v>
      </c>
    </row>
  </sheetData>
  <mergeCells count="1">
    <mergeCell ref="A1:F1"/>
  </mergeCells>
  <pageMargins left="0.75" right="0.75" top="1" bottom="1" header="0.5" footer="0.5"/>
  <pageSetup paperSize="9" scale="3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7"/>
  <dimension ref="A1:K209"/>
  <sheetViews>
    <sheetView workbookViewId="0">
      <pane ySplit="3" topLeftCell="A46" activePane="bottomLeft" state="frozen"/>
      <selection pane="bottomLeft" activeCell="G75" sqref="G75"/>
    </sheetView>
  </sheetViews>
  <sheetFormatPr defaultRowHeight="14.4" x14ac:dyDescent="0.3"/>
  <cols>
    <col min="1" max="1" width="12" customWidth="1"/>
    <col min="2" max="2" width="18" customWidth="1"/>
    <col min="3" max="5" width="14.77734375" customWidth="1"/>
    <col min="7" max="7" width="11.6640625" bestFit="1" customWidth="1"/>
  </cols>
  <sheetData>
    <row r="1" spans="1:5" ht="17.399999999999999" x14ac:dyDescent="0.3">
      <c r="A1" s="93" t="s">
        <v>76</v>
      </c>
      <c r="B1" s="94"/>
      <c r="C1" s="94"/>
      <c r="D1" s="94"/>
      <c r="E1" s="94"/>
    </row>
    <row r="2" spans="1:5" ht="15" thickBot="1" x14ac:dyDescent="0.35">
      <c r="A2" s="6" t="s">
        <v>57</v>
      </c>
    </row>
    <row r="3" spans="1:5" ht="15" thickBot="1" x14ac:dyDescent="0.35">
      <c r="A3" s="31" t="s">
        <v>46</v>
      </c>
      <c r="B3" s="30" t="s">
        <v>2</v>
      </c>
      <c r="C3" s="69" t="s">
        <v>56</v>
      </c>
      <c r="D3" s="70" t="s">
        <v>66</v>
      </c>
      <c r="E3" s="71" t="s">
        <v>54</v>
      </c>
    </row>
    <row r="4" spans="1:5" x14ac:dyDescent="0.3">
      <c r="A4" s="47">
        <f>'05Движение'!A4</f>
        <v>46272</v>
      </c>
      <c r="B4" s="48" t="str">
        <f>'05Движение'!B4</f>
        <v>Ak10</v>
      </c>
      <c r="C4" s="49">
        <f>IF('05Движение'!D4&gt;0,'05Движение'!D4*'02Тариф'!$B$3,0)</f>
        <v>0</v>
      </c>
      <c r="D4" s="50">
        <f>IF('05Движение'!E4&gt;0,'05Движение'!E4*('02Тариф'!$B$4+'02Тариф'!$B$5+'02Тариф'!$B$6),0)</f>
        <v>0</v>
      </c>
      <c r="E4" s="33">
        <f>C4+D4</f>
        <v>0</v>
      </c>
    </row>
    <row r="5" spans="1:5" x14ac:dyDescent="0.3">
      <c r="A5" s="34">
        <f>'05Движение'!A5</f>
        <v>46272</v>
      </c>
      <c r="B5" s="35" t="str">
        <f>'05Движение'!B5</f>
        <v>Ak15</v>
      </c>
      <c r="C5" s="36">
        <f>IF('05Движение'!D5&gt;0,'05Движение'!D5*'02Тариф'!$B$3,0)</f>
        <v>0</v>
      </c>
      <c r="D5" s="37">
        <f>IF('05Движение'!E5&gt;0,'05Движение'!E5*('02Тариф'!$B$4+'02Тариф'!$B$5+'02Тариф'!$B$6),0)</f>
        <v>0</v>
      </c>
      <c r="E5" s="38">
        <f t="shared" ref="E5:E10" si="0">SUM(C5:D5)</f>
        <v>0</v>
      </c>
    </row>
    <row r="6" spans="1:5" x14ac:dyDescent="0.3">
      <c r="A6" s="39">
        <f>'05Движение'!A6</f>
        <v>46272</v>
      </c>
      <c r="B6" s="40" t="str">
        <f>'05Движение'!B6</f>
        <v>G1800</v>
      </c>
      <c r="C6" s="41">
        <f>IF('05Движение'!D6&gt;0,'05Движение'!D6*'02Тариф'!$D$3,0)</f>
        <v>30</v>
      </c>
      <c r="D6" s="42">
        <f>IF('05Движение'!E6&gt;0,'05Движение'!E6*('02Тариф'!$D$4+'02Тариф'!$D$5+'02Тариф'!$D$6),0)</f>
        <v>225</v>
      </c>
      <c r="E6" s="43">
        <f t="shared" si="0"/>
        <v>255</v>
      </c>
    </row>
    <row r="7" spans="1:5" x14ac:dyDescent="0.3">
      <c r="A7" s="34">
        <f>'05Движение'!A7</f>
        <v>46272</v>
      </c>
      <c r="B7" s="35" t="str">
        <f>'05Движение'!B7</f>
        <v>G3500</v>
      </c>
      <c r="C7" s="36">
        <f>IF('05Движение'!D7&gt;0,'05Движение'!D7*'02Тариф'!$C$3,0)</f>
        <v>0</v>
      </c>
      <c r="D7" s="37">
        <f>IF('05Движение'!E7&gt;0,'05Движение'!E7*('02Тариф'!$C$4+'02Тариф'!$C$5+'02Тариф'!$C$6),0)</f>
        <v>0</v>
      </c>
      <c r="E7" s="38">
        <f t="shared" si="0"/>
        <v>0</v>
      </c>
    </row>
    <row r="8" spans="1:5" x14ac:dyDescent="0.3">
      <c r="A8" s="39">
        <f>'05Движение'!A8</f>
        <v>46272</v>
      </c>
      <c r="B8" s="40" t="str">
        <f>'05Движение'!B8</f>
        <v>G800</v>
      </c>
      <c r="C8" s="41">
        <f>IF('05Движение'!D8&gt;0,'05Движение'!D8*'02Тариф'!$C$3,0)</f>
        <v>20</v>
      </c>
      <c r="D8" s="42">
        <f>IF('05Движение'!E8&gt;0,'05Движение'!E8*('02Тариф'!$C$4+'02Тариф'!$C$5+'02Тариф'!$C$6),0)</f>
        <v>110</v>
      </c>
      <c r="E8" s="43">
        <f t="shared" si="0"/>
        <v>130</v>
      </c>
    </row>
    <row r="9" spans="1:5" x14ac:dyDescent="0.3">
      <c r="A9" s="34">
        <f>'05Движение'!A9</f>
        <v>46272</v>
      </c>
      <c r="B9" s="35" t="str">
        <f>'05Движение'!B9</f>
        <v>MiK</v>
      </c>
      <c r="C9" s="36">
        <f>IF('05Движение'!D9&gt;0,'05Движение'!D9*'02Тариф'!$B$3,0)</f>
        <v>10</v>
      </c>
      <c r="D9" s="37">
        <f>IF('05Движение'!E9&gt;0,'05Движение'!E9*('02Тариф'!$B$5+'02Тариф'!$B$6),0)</f>
        <v>30</v>
      </c>
      <c r="E9" s="38">
        <f t="shared" si="0"/>
        <v>40</v>
      </c>
    </row>
    <row r="10" spans="1:5" ht="15" thickBot="1" x14ac:dyDescent="0.35">
      <c r="A10" s="32">
        <f>'05Движение'!A10</f>
        <v>46272</v>
      </c>
      <c r="B10" s="29" t="str">
        <f>'05Движение'!B10</f>
        <v>MiP</v>
      </c>
      <c r="C10" s="44">
        <f>IF('05Движение'!D10&gt;0,'05Движение'!D10*'02Тариф'!$B$3,0)</f>
        <v>0</v>
      </c>
      <c r="D10" s="45">
        <f>IF('05Движение'!E10&gt;0,'05Движение'!E10*('02Тариф'!$B$5+'02Тариф'!$B$6),0)</f>
        <v>0</v>
      </c>
      <c r="E10" s="46">
        <f t="shared" si="0"/>
        <v>0</v>
      </c>
    </row>
    <row r="11" spans="1:5" ht="15.6" thickTop="1" thickBot="1" x14ac:dyDescent="0.35">
      <c r="A11" s="26" t="str">
        <f>'05Движение'!A11</f>
        <v>ПН</v>
      </c>
      <c r="B11" s="24" t="str">
        <f>'05Движение'!B11</f>
        <v>Пузанов Д.В.</v>
      </c>
      <c r="C11" s="27">
        <f>SUM(C4:C10)</f>
        <v>60</v>
      </c>
      <c r="D11" s="27">
        <f>SUM(D4:D10)</f>
        <v>365</v>
      </c>
      <c r="E11" s="28">
        <f>SUM(E4:E10)</f>
        <v>425</v>
      </c>
    </row>
    <row r="12" spans="1:5" ht="15" thickBot="1" x14ac:dyDescent="0.35"/>
    <row r="13" spans="1:5" x14ac:dyDescent="0.3">
      <c r="A13" s="47">
        <f>'05Движение'!A13</f>
        <v>46273</v>
      </c>
      <c r="B13" s="48" t="str">
        <f>'05Движение'!B13</f>
        <v>Ak10</v>
      </c>
      <c r="C13" s="49">
        <f>IF('05Движение'!D13&gt;0,'05Движение'!D13*'02Тариф'!$B$3,0)</f>
        <v>0</v>
      </c>
      <c r="D13" s="50">
        <f>IF('05Движение'!E13&gt;0,'05Движение'!E13*('02Тариф'!$B$4+'02Тариф'!$B$5+'02Тариф'!$B$6),0)</f>
        <v>40</v>
      </c>
      <c r="E13" s="33">
        <f>C13+D13</f>
        <v>40</v>
      </c>
    </row>
    <row r="14" spans="1:5" x14ac:dyDescent="0.3">
      <c r="A14" s="34">
        <f>'05Движение'!A14</f>
        <v>46273</v>
      </c>
      <c r="B14" s="35" t="str">
        <f>'05Движение'!B14</f>
        <v>Ak15</v>
      </c>
      <c r="C14" s="36">
        <f>IF('05Движение'!D14&gt;0,'05Движение'!D14*'02Тариф'!$B$3,0)</f>
        <v>0</v>
      </c>
      <c r="D14" s="37">
        <f>IF('05Движение'!E14&gt;0,'05Движение'!E14*('02Тариф'!$B$4+'02Тариф'!$B$5+'02Тариф'!$B$6),0)</f>
        <v>40</v>
      </c>
      <c r="E14" s="38">
        <f t="shared" ref="E14:E19" si="1">SUM(C14:D14)</f>
        <v>40</v>
      </c>
    </row>
    <row r="15" spans="1:5" x14ac:dyDescent="0.3">
      <c r="A15" s="39">
        <f>'05Движение'!A15</f>
        <v>46273</v>
      </c>
      <c r="B15" s="40" t="str">
        <f>'05Движение'!B15</f>
        <v>G1800</v>
      </c>
      <c r="C15" s="41">
        <f>IF('05Движение'!D15&gt;0,'05Движение'!D15*'02Тариф'!$D$3,0)</f>
        <v>0</v>
      </c>
      <c r="D15" s="42">
        <f>IF('05Движение'!E15&gt;0,'05Движение'!E15*('02Тариф'!$D$4+'02Тариф'!$D$5+'02Тариф'!$D$6),0)</f>
        <v>825</v>
      </c>
      <c r="E15" s="43">
        <f t="shared" si="1"/>
        <v>825</v>
      </c>
    </row>
    <row r="16" spans="1:5" x14ac:dyDescent="0.3">
      <c r="A16" s="34">
        <f>'05Движение'!A16</f>
        <v>46273</v>
      </c>
      <c r="B16" s="35" t="str">
        <f>'05Движение'!B16</f>
        <v>G3500</v>
      </c>
      <c r="C16" s="36">
        <f>IF('05Движение'!D16&gt;0,'05Движение'!D16*'02Тариф'!$C$3,0)</f>
        <v>0</v>
      </c>
      <c r="D16" s="37">
        <f>IF('05Движение'!E16&gt;0,'05Движение'!E16*('02Тариф'!$C$4+'02Тариф'!$C$5+'02Тариф'!$C$6),0)</f>
        <v>0</v>
      </c>
      <c r="E16" s="38">
        <f t="shared" si="1"/>
        <v>0</v>
      </c>
    </row>
    <row r="17" spans="1:5" x14ac:dyDescent="0.3">
      <c r="A17" s="39">
        <f>'05Движение'!A17</f>
        <v>46273</v>
      </c>
      <c r="B17" s="40" t="str">
        <f>'05Движение'!B17</f>
        <v>G800</v>
      </c>
      <c r="C17" s="41">
        <f>IF('05Движение'!D17&gt;0,'05Движение'!D17*'02Тариф'!$C$3,0)</f>
        <v>0</v>
      </c>
      <c r="D17" s="42">
        <f>IF('05Движение'!E17&gt;0,'05Движение'!E17*('02Тариф'!$C$4+'02Тариф'!$C$5+'02Тариф'!$C$6),0)</f>
        <v>165</v>
      </c>
      <c r="E17" s="43">
        <f t="shared" si="1"/>
        <v>165</v>
      </c>
    </row>
    <row r="18" spans="1:5" x14ac:dyDescent="0.3">
      <c r="A18" s="34">
        <f>'05Движение'!A18</f>
        <v>46273</v>
      </c>
      <c r="B18" s="35" t="str">
        <f>'05Движение'!B18</f>
        <v>MiK</v>
      </c>
      <c r="C18" s="36">
        <f>IF('05Движение'!D18&gt;0,'05Движение'!D18*'02Тариф'!$B$3,0)</f>
        <v>0</v>
      </c>
      <c r="D18" s="37">
        <f>IF('05Движение'!E18&gt;0,'05Движение'!E18*('02Тариф'!$B$5+'02Тариф'!$B$6),0)</f>
        <v>0</v>
      </c>
      <c r="E18" s="38">
        <f t="shared" si="1"/>
        <v>0</v>
      </c>
    </row>
    <row r="19" spans="1:5" ht="15" thickBot="1" x14ac:dyDescent="0.35">
      <c r="A19" s="32">
        <f>'05Движение'!A19</f>
        <v>46273</v>
      </c>
      <c r="B19" s="29" t="str">
        <f>'05Движение'!B19</f>
        <v>MiP</v>
      </c>
      <c r="C19" s="44">
        <f>IF('05Движение'!D19&gt;0,'05Движение'!D19*'02Тариф'!$B$3,0)</f>
        <v>0</v>
      </c>
      <c r="D19" s="45">
        <f>IF('05Движение'!E19&gt;0,'05Движение'!E19*('02Тариф'!$B$5+'02Тариф'!$B$6),0)</f>
        <v>0</v>
      </c>
      <c r="E19" s="46">
        <f t="shared" si="1"/>
        <v>0</v>
      </c>
    </row>
    <row r="20" spans="1:5" ht="15.6" thickTop="1" thickBot="1" x14ac:dyDescent="0.35">
      <c r="A20" s="26" t="str">
        <f>'05Движение'!A20</f>
        <v>ВТ</v>
      </c>
      <c r="B20" s="24" t="s">
        <v>43</v>
      </c>
      <c r="C20" s="27">
        <f>SUM(C13:C19)</f>
        <v>0</v>
      </c>
      <c r="D20" s="27">
        <f>SUM(D13:D19)</f>
        <v>1070</v>
      </c>
      <c r="E20" s="28">
        <f>SUM(E13:E19)</f>
        <v>1070</v>
      </c>
    </row>
    <row r="21" spans="1:5" ht="15" thickBot="1" x14ac:dyDescent="0.35"/>
    <row r="22" spans="1:5" x14ac:dyDescent="0.3">
      <c r="A22" s="47">
        <f>'05Движение'!A22</f>
        <v>46274</v>
      </c>
      <c r="B22" s="48" t="str">
        <f>'05Движение'!B22</f>
        <v>Ak10</v>
      </c>
      <c r="C22" s="49">
        <f>IF('05Движение'!D22&gt;0,'05Движение'!D22*'02Тариф'!$B$3,0)</f>
        <v>0</v>
      </c>
      <c r="D22" s="50">
        <f>IF('05Движение'!E22&gt;0,'05Движение'!E22*('02Тариф'!$B$4+'02Тариф'!$B$5+'02Тариф'!$B$6),0)</f>
        <v>0</v>
      </c>
      <c r="E22" s="33">
        <f>C22+D22</f>
        <v>0</v>
      </c>
    </row>
    <row r="23" spans="1:5" x14ac:dyDescent="0.3">
      <c r="A23" s="34">
        <f>'05Движение'!A23</f>
        <v>46274</v>
      </c>
      <c r="B23" s="35" t="str">
        <f>'05Движение'!B23</f>
        <v>Ak15</v>
      </c>
      <c r="C23" s="36">
        <f>IF('05Движение'!D23&gt;0,'05Движение'!D23*'02Тариф'!$B$3,0)</f>
        <v>0</v>
      </c>
      <c r="D23" s="37">
        <f>IF('05Движение'!E23&gt;0,'05Движение'!E23*('02Тариф'!$B$4+'02Тариф'!$B$5+'02Тариф'!$B$6),0)</f>
        <v>40</v>
      </c>
      <c r="E23" s="38">
        <f t="shared" ref="E23:E28" si="2">SUM(C23:D23)</f>
        <v>40</v>
      </c>
    </row>
    <row r="24" spans="1:5" x14ac:dyDescent="0.3">
      <c r="A24" s="39">
        <f>'05Движение'!A24</f>
        <v>46274</v>
      </c>
      <c r="B24" s="40" t="str">
        <f>'05Движение'!B24</f>
        <v>G1800</v>
      </c>
      <c r="C24" s="41">
        <f>IF('05Движение'!D24&gt;0,'05Движение'!D24*'02Тариф'!$D$3,0)</f>
        <v>0</v>
      </c>
      <c r="D24" s="42">
        <f>IF('05Движение'!E24&gt;0,'05Движение'!E24*('02Тариф'!$D$4+'02Тариф'!$D$5+'02Тариф'!$D$6),0)</f>
        <v>600</v>
      </c>
      <c r="E24" s="43">
        <f t="shared" si="2"/>
        <v>600</v>
      </c>
    </row>
    <row r="25" spans="1:5" x14ac:dyDescent="0.3">
      <c r="A25" s="34">
        <f>'05Движение'!A25</f>
        <v>46274</v>
      </c>
      <c r="B25" s="35" t="str">
        <f>'05Движение'!B25</f>
        <v>G3500</v>
      </c>
      <c r="C25" s="36">
        <f>IF('05Движение'!D25&gt;0,'05Движение'!D25*'02Тариф'!$C$3,0)</f>
        <v>0</v>
      </c>
      <c r="D25" s="37">
        <f>IF('05Движение'!E25&gt;0,'05Движение'!E25*('02Тариф'!$C$4+'02Тариф'!$C$5+'02Тариф'!$C$6),0)</f>
        <v>0</v>
      </c>
      <c r="E25" s="38">
        <f t="shared" si="2"/>
        <v>0</v>
      </c>
    </row>
    <row r="26" spans="1:5" x14ac:dyDescent="0.3">
      <c r="A26" s="39">
        <f>'05Движение'!A26</f>
        <v>46274</v>
      </c>
      <c r="B26" s="40" t="str">
        <f>'05Движение'!B26</f>
        <v>G800</v>
      </c>
      <c r="C26" s="41">
        <f>IF('05Движение'!D26&gt;0,'05Движение'!D26*'02Тариф'!$C$3,0)</f>
        <v>0</v>
      </c>
      <c r="D26" s="42">
        <f>IF('05Движение'!E26&gt;0,'05Движение'!E26*('02Тариф'!$C$4+'02Тариф'!$C$5+'02Тариф'!$C$6),0)</f>
        <v>275</v>
      </c>
      <c r="E26" s="43">
        <f t="shared" si="2"/>
        <v>275</v>
      </c>
    </row>
    <row r="27" spans="1:5" x14ac:dyDescent="0.3">
      <c r="A27" s="34">
        <f>'05Движение'!A27</f>
        <v>46274</v>
      </c>
      <c r="B27" s="35" t="str">
        <f>'05Движение'!B27</f>
        <v>MiK</v>
      </c>
      <c r="C27" s="36">
        <f>IF('05Движение'!D27&gt;0,'05Движение'!D27*'02Тариф'!$B$3,0)</f>
        <v>0</v>
      </c>
      <c r="D27" s="37">
        <f>IF('05Движение'!E27&gt;0,'05Движение'!E27*('02Тариф'!$B$5+'02Тариф'!$B$6),0)</f>
        <v>30</v>
      </c>
      <c r="E27" s="38">
        <f t="shared" si="2"/>
        <v>30</v>
      </c>
    </row>
    <row r="28" spans="1:5" ht="15" thickBot="1" x14ac:dyDescent="0.35">
      <c r="A28" s="32">
        <f>'05Движение'!A28</f>
        <v>46274</v>
      </c>
      <c r="B28" s="29" t="str">
        <f>'05Движение'!B28</f>
        <v>MiP</v>
      </c>
      <c r="C28" s="44">
        <f>IF('05Движение'!D28&gt;0,'05Движение'!D28*'02Тариф'!$B$3,0)</f>
        <v>0</v>
      </c>
      <c r="D28" s="45">
        <f>IF('05Движение'!E28&gt;0,'05Движение'!E28*('02Тариф'!$B$5+'02Тариф'!$B$6),0)</f>
        <v>0</v>
      </c>
      <c r="E28" s="46">
        <f t="shared" si="2"/>
        <v>0</v>
      </c>
    </row>
    <row r="29" spans="1:5" ht="15.6" thickTop="1" thickBot="1" x14ac:dyDescent="0.35">
      <c r="A29" s="26" t="str">
        <f>'05Движение'!A29</f>
        <v>СР</v>
      </c>
      <c r="B29" s="24" t="s">
        <v>43</v>
      </c>
      <c r="C29" s="27">
        <f>SUM(C22:C28)</f>
        <v>0</v>
      </c>
      <c r="D29" s="27">
        <f>SUM(D22:D28)</f>
        <v>945</v>
      </c>
      <c r="E29" s="28">
        <f>SUM(E22:E28)</f>
        <v>945</v>
      </c>
    </row>
    <row r="30" spans="1:5" ht="15" thickBot="1" x14ac:dyDescent="0.35"/>
    <row r="31" spans="1:5" x14ac:dyDescent="0.3">
      <c r="A31" s="47">
        <f>'05Движение'!A31</f>
        <v>46275</v>
      </c>
      <c r="B31" s="48" t="str">
        <f>'05Движение'!B31</f>
        <v>Ak10</v>
      </c>
      <c r="C31" s="49">
        <f>IF('05Движение'!D31&gt;0,'05Движение'!D31*'02Тариф'!$B$3,0)</f>
        <v>0</v>
      </c>
      <c r="D31" s="50">
        <f>IF('05Движение'!E31&gt;0,'05Движение'!E31*('02Тариф'!$B$4+'02Тариф'!$B$5+'02Тариф'!$B$6),0)</f>
        <v>0</v>
      </c>
      <c r="E31" s="33">
        <f>C31+D31</f>
        <v>0</v>
      </c>
    </row>
    <row r="32" spans="1:5" x14ac:dyDescent="0.3">
      <c r="A32" s="34">
        <f>'05Движение'!A32</f>
        <v>46275</v>
      </c>
      <c r="B32" s="35" t="str">
        <f>'05Движение'!B32</f>
        <v>Ak15</v>
      </c>
      <c r="C32" s="36">
        <f>IF('05Движение'!D32&gt;0,'05Движение'!D32*'02Тариф'!$B$3,0)</f>
        <v>100</v>
      </c>
      <c r="D32" s="37">
        <f>IF('05Движение'!E32&gt;0,'05Движение'!E32*('02Тариф'!$B$4+'02Тариф'!$B$5+'02Тариф'!$B$6),0)</f>
        <v>0</v>
      </c>
      <c r="E32" s="38">
        <f t="shared" ref="E32:E37" si="3">SUM(C32:D32)</f>
        <v>100</v>
      </c>
    </row>
    <row r="33" spans="1:5" x14ac:dyDescent="0.3">
      <c r="A33" s="39">
        <f>'05Движение'!A33</f>
        <v>46275</v>
      </c>
      <c r="B33" s="40" t="str">
        <f>'05Движение'!B33</f>
        <v>G1800</v>
      </c>
      <c r="C33" s="41">
        <f>IF('05Движение'!D33&gt;0,'05Движение'!D33*'02Тариф'!$D$3,0)</f>
        <v>1290</v>
      </c>
      <c r="D33" s="42">
        <f>IF('05Движение'!E33&gt;0,'05Движение'!E33*('02Тариф'!$D$4+'02Тариф'!$D$5+'02Тариф'!$D$6),0)</f>
        <v>750</v>
      </c>
      <c r="E33" s="43">
        <f t="shared" si="3"/>
        <v>2040</v>
      </c>
    </row>
    <row r="34" spans="1:5" x14ac:dyDescent="0.3">
      <c r="A34" s="34">
        <f>'05Движение'!A34</f>
        <v>46275</v>
      </c>
      <c r="B34" s="35" t="str">
        <f>'05Движение'!B34</f>
        <v>G3500</v>
      </c>
      <c r="C34" s="36">
        <f>IF('05Движение'!D34&gt;0,'05Движение'!D34*'02Тариф'!$C$3,0)</f>
        <v>20</v>
      </c>
      <c r="D34" s="37">
        <f>IF('05Движение'!E34&gt;0,'05Движение'!E34*('02Тариф'!$C$4+'02Тариф'!$C$5+'02Тариф'!$C$6),0)</f>
        <v>0</v>
      </c>
      <c r="E34" s="38">
        <f t="shared" si="3"/>
        <v>20</v>
      </c>
    </row>
    <row r="35" spans="1:5" x14ac:dyDescent="0.3">
      <c r="A35" s="39">
        <f>'05Движение'!A35</f>
        <v>46275</v>
      </c>
      <c r="B35" s="40" t="str">
        <f>'05Движение'!B35</f>
        <v>G800</v>
      </c>
      <c r="C35" s="41">
        <f>IF('05Движение'!D35&gt;0,'05Движение'!D35*'02Тариф'!$C$3,0)</f>
        <v>0</v>
      </c>
      <c r="D35" s="42">
        <f>IF('05Движение'!E35&gt;0,'05Движение'!E35*('02Тариф'!$C$4+'02Тариф'!$C$5+'02Тариф'!$C$6),0)</f>
        <v>440</v>
      </c>
      <c r="E35" s="43">
        <f t="shared" si="3"/>
        <v>440</v>
      </c>
    </row>
    <row r="36" spans="1:5" x14ac:dyDescent="0.3">
      <c r="A36" s="34">
        <f>'05Движение'!A36</f>
        <v>46275</v>
      </c>
      <c r="B36" s="35" t="str">
        <f>'05Движение'!B36</f>
        <v>MiK</v>
      </c>
      <c r="C36" s="36">
        <f>IF('05Движение'!D36&gt;0,'05Движение'!D36*'02Тариф'!$B$3,0)</f>
        <v>100</v>
      </c>
      <c r="D36" s="37">
        <f>IF('05Движение'!E36&gt;0,'05Движение'!E36*('02Тариф'!$B$5+'02Тариф'!$B$6),0)</f>
        <v>30</v>
      </c>
      <c r="E36" s="38">
        <f t="shared" si="3"/>
        <v>130</v>
      </c>
    </row>
    <row r="37" spans="1:5" ht="15" thickBot="1" x14ac:dyDescent="0.35">
      <c r="A37" s="32">
        <f>'05Движение'!A37</f>
        <v>46275</v>
      </c>
      <c r="B37" s="29" t="str">
        <f>'05Движение'!B37</f>
        <v>MiP</v>
      </c>
      <c r="C37" s="44">
        <f>IF('05Движение'!D37&gt;0,'05Движение'!D37*'02Тариф'!$B$3,0)</f>
        <v>270</v>
      </c>
      <c r="D37" s="45">
        <f>IF('05Движение'!E37&gt;0,'05Движение'!E37*('02Тариф'!$B$5+'02Тариф'!$B$6),0)</f>
        <v>30</v>
      </c>
      <c r="E37" s="46">
        <f t="shared" si="3"/>
        <v>300</v>
      </c>
    </row>
    <row r="38" spans="1:5" ht="15.6" thickTop="1" thickBot="1" x14ac:dyDescent="0.35">
      <c r="A38" s="26" t="str">
        <f>'05Движение'!A38</f>
        <v>ЧТ</v>
      </c>
      <c r="B38" s="24" t="s">
        <v>43</v>
      </c>
      <c r="C38" s="27">
        <f>SUM(C31:C37)</f>
        <v>1780</v>
      </c>
      <c r="D38" s="27">
        <f>SUM(D31:D37)</f>
        <v>1250</v>
      </c>
      <c r="E38" s="28">
        <f>SUM(E31:E37)</f>
        <v>3030</v>
      </c>
    </row>
    <row r="39" spans="1:5" ht="15" thickBot="1" x14ac:dyDescent="0.35"/>
    <row r="40" spans="1:5" x14ac:dyDescent="0.3">
      <c r="A40" s="47">
        <f>'05Движение'!A40</f>
        <v>46276</v>
      </c>
      <c r="B40" s="48" t="str">
        <f>'05Движение'!B40</f>
        <v>Ak10</v>
      </c>
      <c r="C40" s="49">
        <f>IF('05Движение'!D40&gt;0,'05Движение'!D40*'02Тариф'!$B$3,0)</f>
        <v>0</v>
      </c>
      <c r="D40" s="50">
        <f>IF('05Движение'!E40&gt;0,'05Движение'!E40*('02Тариф'!$B$4+'02Тариф'!$B$5+'02Тариф'!$B$6),0)</f>
        <v>200</v>
      </c>
      <c r="E40" s="33">
        <f>C40+D40</f>
        <v>200</v>
      </c>
    </row>
    <row r="41" spans="1:5" x14ac:dyDescent="0.3">
      <c r="A41" s="34">
        <f>'05Движение'!A41</f>
        <v>46276</v>
      </c>
      <c r="B41" s="35" t="str">
        <f>'05Движение'!B41</f>
        <v>Ak15</v>
      </c>
      <c r="C41" s="36">
        <f>IF('05Движение'!D41&gt;0,'05Движение'!D41*'02Тариф'!$B$3,0)</f>
        <v>0</v>
      </c>
      <c r="D41" s="37">
        <f>IF('05Движение'!E41&gt;0,'05Движение'!E41*('02Тариф'!$B$4+'02Тариф'!$B$5+'02Тариф'!$B$6),0)</f>
        <v>80</v>
      </c>
      <c r="E41" s="38">
        <f t="shared" ref="E41:E46" si="4">SUM(C41:D41)</f>
        <v>80</v>
      </c>
    </row>
    <row r="42" spans="1:5" x14ac:dyDescent="0.3">
      <c r="A42" s="39">
        <f>'05Движение'!A42</f>
        <v>46276</v>
      </c>
      <c r="B42" s="40" t="str">
        <f>'05Движение'!B42</f>
        <v>G1800</v>
      </c>
      <c r="C42" s="41">
        <f>IF('05Движение'!D42&gt;0,'05Движение'!D42*'02Тариф'!$D$3,0)</f>
        <v>0</v>
      </c>
      <c r="D42" s="42">
        <f>IF('05Движение'!E42&gt;0,'05Движение'!E42*('02Тариф'!$D$4+'02Тариф'!$D$5+'02Тариф'!$D$6),0)</f>
        <v>900</v>
      </c>
      <c r="E42" s="43">
        <f t="shared" si="4"/>
        <v>900</v>
      </c>
    </row>
    <row r="43" spans="1:5" x14ac:dyDescent="0.3">
      <c r="A43" s="34">
        <f>'05Движение'!A43</f>
        <v>46276</v>
      </c>
      <c r="B43" s="35" t="str">
        <f>'05Движение'!B43</f>
        <v>G3500</v>
      </c>
      <c r="C43" s="36">
        <f>IF('05Движение'!D43&gt;0,'05Движение'!D43*'02Тариф'!$C$3,0)</f>
        <v>0</v>
      </c>
      <c r="D43" s="37">
        <f>IF('05Движение'!E43&gt;0,'05Движение'!E43*('02Тариф'!$C$4+'02Тариф'!$C$5+'02Тариф'!$C$6),0)</f>
        <v>110</v>
      </c>
      <c r="E43" s="38">
        <f t="shared" si="4"/>
        <v>110</v>
      </c>
    </row>
    <row r="44" spans="1:5" x14ac:dyDescent="0.3">
      <c r="A44" s="39">
        <f>'05Движение'!A44</f>
        <v>46276</v>
      </c>
      <c r="B44" s="40" t="str">
        <f>'05Движение'!B44</f>
        <v>G800</v>
      </c>
      <c r="C44" s="41">
        <f>IF('05Движение'!D44&gt;0,'05Движение'!D44*'02Тариф'!$C$3,0)</f>
        <v>640</v>
      </c>
      <c r="D44" s="42">
        <f>IF('05Движение'!E44&gt;0,'05Движение'!E44*('02Тариф'!$C$4+'02Тариф'!$C$5+'02Тариф'!$C$6),0)</f>
        <v>220</v>
      </c>
      <c r="E44" s="43">
        <f t="shared" si="4"/>
        <v>860</v>
      </c>
    </row>
    <row r="45" spans="1:5" x14ac:dyDescent="0.3">
      <c r="A45" s="34">
        <f>'05Движение'!A45</f>
        <v>46276</v>
      </c>
      <c r="B45" s="35" t="str">
        <f>'05Движение'!B45</f>
        <v>MiK</v>
      </c>
      <c r="C45" s="36">
        <f>IF('05Движение'!D45&gt;0,'05Движение'!D45*'02Тариф'!$B$3,0)</f>
        <v>0</v>
      </c>
      <c r="D45" s="37">
        <f>IF('05Движение'!E45&gt;0,'05Движение'!E45*('02Тариф'!$B$5+'02Тариф'!$B$6),0)</f>
        <v>180</v>
      </c>
      <c r="E45" s="38">
        <f t="shared" si="4"/>
        <v>180</v>
      </c>
    </row>
    <row r="46" spans="1:5" ht="15" thickBot="1" x14ac:dyDescent="0.35">
      <c r="A46" s="32">
        <f>'05Движение'!A46</f>
        <v>46276</v>
      </c>
      <c r="B46" s="29" t="str">
        <f>'05Движение'!B46</f>
        <v>MiP</v>
      </c>
      <c r="C46" s="44">
        <f>IF('05Движение'!D46&gt;0,'05Движение'!D46*'02Тариф'!$B$3,0)</f>
        <v>0</v>
      </c>
      <c r="D46" s="45">
        <f>IF('05Движение'!E46&gt;0,'05Движение'!E46*('02Тариф'!$B$5+'02Тариф'!$B$6),0)</f>
        <v>30</v>
      </c>
      <c r="E46" s="46">
        <f t="shared" si="4"/>
        <v>30</v>
      </c>
    </row>
    <row r="47" spans="1:5" ht="15.6" thickTop="1" thickBot="1" x14ac:dyDescent="0.35">
      <c r="A47" s="26" t="str">
        <f>'05Движение'!A47</f>
        <v>ПТ</v>
      </c>
      <c r="B47" s="24" t="s">
        <v>45</v>
      </c>
      <c r="C47" s="27">
        <f>SUM(C40:C46)</f>
        <v>640</v>
      </c>
      <c r="D47" s="27">
        <f>SUM(D40:D46)</f>
        <v>1720</v>
      </c>
      <c r="E47" s="28">
        <f>SUM(E40:E46)</f>
        <v>2360</v>
      </c>
    </row>
    <row r="48" spans="1:5" ht="15" thickBot="1" x14ac:dyDescent="0.35"/>
    <row r="49" spans="1:5" x14ac:dyDescent="0.3">
      <c r="A49" s="47">
        <f>'05Движение'!A49</f>
        <v>46277</v>
      </c>
      <c r="B49" s="48" t="str">
        <f>'05Движение'!B49</f>
        <v>Ak10</v>
      </c>
      <c r="C49" s="49">
        <f>IF('05Движение'!D49&gt;0,'05Движение'!D49*'02Тариф'!$B$3,0)</f>
        <v>0</v>
      </c>
      <c r="D49" s="50">
        <f>IF('05Движение'!E49&gt;0,'05Движение'!E49*('02Тариф'!$B$4+'02Тариф'!$B$5+'02Тариф'!$B$6),0)</f>
        <v>40</v>
      </c>
      <c r="E49" s="33">
        <f>C49+D49</f>
        <v>40</v>
      </c>
    </row>
    <row r="50" spans="1:5" x14ac:dyDescent="0.3">
      <c r="A50" s="34">
        <f>'05Движение'!A50</f>
        <v>46277</v>
      </c>
      <c r="B50" s="35" t="str">
        <f>'05Движение'!B50</f>
        <v>Ak15</v>
      </c>
      <c r="C50" s="36">
        <f>IF('05Движение'!D50&gt;0,'05Движение'!D50*'02Тариф'!$B$3,0)</f>
        <v>0</v>
      </c>
      <c r="D50" s="37">
        <f>IF('05Движение'!E50&gt;0,'05Движение'!E50*('02Тариф'!$B$4+'02Тариф'!$B$5+'02Тариф'!$B$6),0)</f>
        <v>80</v>
      </c>
      <c r="E50" s="38">
        <f t="shared" ref="E50:E55" si="5">SUM(C50:D50)</f>
        <v>80</v>
      </c>
    </row>
    <row r="51" spans="1:5" x14ac:dyDescent="0.3">
      <c r="A51" s="39">
        <f>'05Движение'!A51</f>
        <v>46277</v>
      </c>
      <c r="B51" s="40" t="str">
        <f>'05Движение'!B51</f>
        <v>G1800</v>
      </c>
      <c r="C51" s="41">
        <f>IF('05Движение'!D51&gt;0,'05Движение'!D51*'02Тариф'!$D$3,0)</f>
        <v>0</v>
      </c>
      <c r="D51" s="42">
        <f>IF('05Движение'!E51&gt;0,'05Движение'!E51*('02Тариф'!$D$4+'02Тариф'!$D$5+'02Тариф'!$D$6),0)</f>
        <v>375</v>
      </c>
      <c r="E51" s="43">
        <f t="shared" si="5"/>
        <v>375</v>
      </c>
    </row>
    <row r="52" spans="1:5" x14ac:dyDescent="0.3">
      <c r="A52" s="34">
        <f>'05Движение'!A52</f>
        <v>46277</v>
      </c>
      <c r="B52" s="35" t="str">
        <f>'05Движение'!B52</f>
        <v>G3500</v>
      </c>
      <c r="C52" s="36">
        <f>IF('05Движение'!D52&gt;0,'05Движение'!D52*'02Тариф'!$C$3,0)</f>
        <v>0</v>
      </c>
      <c r="D52" s="37">
        <f>IF('05Движение'!E52&gt;0,'05Движение'!E52*('02Тариф'!$C$4+'02Тариф'!$C$5+'02Тариф'!$C$6),0)</f>
        <v>55</v>
      </c>
      <c r="E52" s="38">
        <f t="shared" si="5"/>
        <v>55</v>
      </c>
    </row>
    <row r="53" spans="1:5" x14ac:dyDescent="0.3">
      <c r="A53" s="39">
        <f>'05Движение'!A53</f>
        <v>46277</v>
      </c>
      <c r="B53" s="40" t="str">
        <f>'05Движение'!B53</f>
        <v>G800</v>
      </c>
      <c r="C53" s="41">
        <f>IF('05Движение'!D53&gt;0,'05Движение'!D53*'02Тариф'!$C$3,0)</f>
        <v>0</v>
      </c>
      <c r="D53" s="42">
        <f>IF('05Движение'!E53&gt;0,'05Движение'!E53*('02Тариф'!$C$4+'02Тариф'!$C$5+'02Тариф'!$C$6),0)</f>
        <v>440</v>
      </c>
      <c r="E53" s="43">
        <f t="shared" si="5"/>
        <v>440</v>
      </c>
    </row>
    <row r="54" spans="1:5" x14ac:dyDescent="0.3">
      <c r="A54" s="34">
        <f>'05Движение'!A54</f>
        <v>46277</v>
      </c>
      <c r="B54" s="35" t="str">
        <f>'05Движение'!B54</f>
        <v>MiK</v>
      </c>
      <c r="C54" s="36">
        <f>IF('05Движение'!D54&gt;0,'05Движение'!D54*'02Тариф'!$B$3,0)</f>
        <v>0</v>
      </c>
      <c r="D54" s="37">
        <f>IF('05Движение'!E54&gt;0,'05Движение'!E54*('02Тариф'!$B$5+'02Тариф'!$B$6),0)</f>
        <v>120</v>
      </c>
      <c r="E54" s="38">
        <f t="shared" si="5"/>
        <v>120</v>
      </c>
    </row>
    <row r="55" spans="1:5" ht="15" thickBot="1" x14ac:dyDescent="0.35">
      <c r="A55" s="32">
        <f>'05Движение'!A55</f>
        <v>46277</v>
      </c>
      <c r="B55" s="29" t="str">
        <f>'05Движение'!B55</f>
        <v>MiP</v>
      </c>
      <c r="C55" s="44">
        <f>IF('05Движение'!D55&gt;0,'05Движение'!D55*'02Тариф'!$B$3,0)</f>
        <v>0</v>
      </c>
      <c r="D55" s="45">
        <f>IF('05Движение'!E55&gt;0,'05Движение'!E55*('02Тариф'!$B$5+'02Тариф'!$B$6),0)</f>
        <v>30</v>
      </c>
      <c r="E55" s="46">
        <f t="shared" si="5"/>
        <v>30</v>
      </c>
    </row>
    <row r="56" spans="1:5" ht="15.6" thickTop="1" thickBot="1" x14ac:dyDescent="0.35">
      <c r="A56" s="26" t="str">
        <f>'05Движение'!A56</f>
        <v>СБ</v>
      </c>
      <c r="B56" s="24" t="s">
        <v>43</v>
      </c>
      <c r="C56" s="27">
        <f>SUM(C49:C55)</f>
        <v>0</v>
      </c>
      <c r="D56" s="27">
        <f>SUM(D49:D55)</f>
        <v>1140</v>
      </c>
      <c r="E56" s="28">
        <f>SUM(E49:E55)</f>
        <v>1140</v>
      </c>
    </row>
    <row r="57" spans="1:5" ht="15" thickBot="1" x14ac:dyDescent="0.35"/>
    <row r="58" spans="1:5" x14ac:dyDescent="0.3">
      <c r="A58" s="47">
        <f>'05Движение'!A58</f>
        <v>46278</v>
      </c>
      <c r="B58" s="48" t="str">
        <f>'05Движение'!B58</f>
        <v>Ak10</v>
      </c>
      <c r="C58" s="49">
        <f>IF('05Движение'!D58&gt;0,'05Движение'!D58*'02Тариф'!$B$3,0)</f>
        <v>0</v>
      </c>
      <c r="D58" s="50">
        <f>IF('05Движение'!E58&gt;0,'05Движение'!E58*('02Тариф'!$B$4+'02Тариф'!$B$5+'02Тариф'!$B$6),0)</f>
        <v>160</v>
      </c>
      <c r="E58" s="33">
        <f>C58+D58</f>
        <v>160</v>
      </c>
    </row>
    <row r="59" spans="1:5" x14ac:dyDescent="0.3">
      <c r="A59" s="34">
        <f>'05Движение'!A59</f>
        <v>46278</v>
      </c>
      <c r="B59" s="35" t="str">
        <f>'05Движение'!B59</f>
        <v>Ak15</v>
      </c>
      <c r="C59" s="36">
        <f>IF('05Движение'!D59&gt;0,'05Движение'!D59*'02Тариф'!$B$3,0)</f>
        <v>0</v>
      </c>
      <c r="D59" s="37">
        <f>IF('05Движение'!E59&gt;0,'05Движение'!E59*('02Тариф'!$B$4+'02Тариф'!$B$5+'02Тариф'!$B$6),0)</f>
        <v>80</v>
      </c>
      <c r="E59" s="38">
        <f t="shared" ref="E59:E64" si="6">SUM(C59:D59)</f>
        <v>80</v>
      </c>
    </row>
    <row r="60" spans="1:5" x14ac:dyDescent="0.3">
      <c r="A60" s="39">
        <f>'05Движение'!A60</f>
        <v>46278</v>
      </c>
      <c r="B60" s="40" t="str">
        <f>'05Движение'!B60</f>
        <v>G1800</v>
      </c>
      <c r="C60" s="41">
        <f>IF('05Движение'!D60&gt;0,'05Движение'!D60*'02Тариф'!$D$3,0)</f>
        <v>0</v>
      </c>
      <c r="D60" s="42">
        <f>IF('05Движение'!E60&gt;0,'05Движение'!E60*('02Тариф'!$D$4+'02Тариф'!$D$5+'02Тариф'!$D$6),0)</f>
        <v>150</v>
      </c>
      <c r="E60" s="43">
        <f t="shared" si="6"/>
        <v>150</v>
      </c>
    </row>
    <row r="61" spans="1:5" x14ac:dyDescent="0.3">
      <c r="A61" s="34">
        <f>'05Движение'!A61</f>
        <v>46278</v>
      </c>
      <c r="B61" s="35" t="str">
        <f>'05Движение'!B61</f>
        <v>G3500</v>
      </c>
      <c r="C61" s="36">
        <f>IF('05Движение'!D61&gt;0,'05Движение'!D61*'02Тариф'!$C$3,0)</f>
        <v>20</v>
      </c>
      <c r="D61" s="37">
        <f>IF('05Движение'!E61&gt;0,'05Движение'!E61*('02Тариф'!$C$4+'02Тариф'!$C$5+'02Тариф'!$C$6),0)</f>
        <v>110</v>
      </c>
      <c r="E61" s="38">
        <f t="shared" si="6"/>
        <v>130</v>
      </c>
    </row>
    <row r="62" spans="1:5" x14ac:dyDescent="0.3">
      <c r="A62" s="39">
        <f>'05Движение'!A62</f>
        <v>46278</v>
      </c>
      <c r="B62" s="40" t="str">
        <f>'05Движение'!B62</f>
        <v>G800</v>
      </c>
      <c r="C62" s="41">
        <f>IF('05Движение'!D62&gt;0,'05Движение'!D62*'02Тариф'!$C$3,0)</f>
        <v>0</v>
      </c>
      <c r="D62" s="42">
        <f>IF('05Движение'!E62&gt;0,'05Движение'!E62*('02Тариф'!$C$4+'02Тариф'!$C$5+'02Тариф'!$C$6),0)</f>
        <v>220</v>
      </c>
      <c r="E62" s="43">
        <f t="shared" si="6"/>
        <v>220</v>
      </c>
    </row>
    <row r="63" spans="1:5" x14ac:dyDescent="0.3">
      <c r="A63" s="34">
        <f>'05Движение'!A63</f>
        <v>46278</v>
      </c>
      <c r="B63" s="35" t="str">
        <f>'05Движение'!B63</f>
        <v>MiK</v>
      </c>
      <c r="C63" s="36">
        <f>IF('05Движение'!D63&gt;0,'05Движение'!D63*'02Тариф'!$B$3,0)</f>
        <v>0</v>
      </c>
      <c r="D63" s="37">
        <f>IF('05Движение'!E63&gt;0,'05Движение'!E63*('02Тариф'!$B$5+'02Тариф'!$B$6),0)</f>
        <v>0</v>
      </c>
      <c r="E63" s="38">
        <f t="shared" si="6"/>
        <v>0</v>
      </c>
    </row>
    <row r="64" spans="1:5" ht="15" thickBot="1" x14ac:dyDescent="0.35">
      <c r="A64" s="32">
        <f>'05Движение'!A64</f>
        <v>46278</v>
      </c>
      <c r="B64" s="29" t="str">
        <f>'05Движение'!B64</f>
        <v>MiP</v>
      </c>
      <c r="C64" s="44">
        <f>IF('05Движение'!D64&gt;0,'05Движение'!D64*'02Тариф'!$B$3,0)</f>
        <v>0</v>
      </c>
      <c r="D64" s="45">
        <f>IF('05Движение'!E64&gt;0,'05Движение'!E64*('02Тариф'!$B$5+'02Тариф'!$B$6),0)</f>
        <v>0</v>
      </c>
      <c r="E64" s="46">
        <f t="shared" si="6"/>
        <v>0</v>
      </c>
    </row>
    <row r="65" spans="1:7" ht="15.6" thickTop="1" thickBot="1" x14ac:dyDescent="0.35">
      <c r="A65" s="26" t="str">
        <f>'05Движение'!A65</f>
        <v>ВС</v>
      </c>
      <c r="B65" s="24" t="s">
        <v>43</v>
      </c>
      <c r="C65" s="27">
        <f>SUM(C58:C64)</f>
        <v>20</v>
      </c>
      <c r="D65" s="27">
        <f>SUM(D58:D64)</f>
        <v>720</v>
      </c>
      <c r="E65" s="28">
        <f>SUM(E58:E64)</f>
        <v>740</v>
      </c>
    </row>
    <row r="66" spans="1:7" s="9" customFormat="1" ht="15" thickBot="1" x14ac:dyDescent="0.35"/>
    <row r="67" spans="1:7" s="9" customFormat="1" x14ac:dyDescent="0.3">
      <c r="A67" s="47"/>
      <c r="B67" s="48" t="str">
        <f>B4</f>
        <v>Ak10</v>
      </c>
      <c r="C67" s="49">
        <f t="shared" ref="C67:D73" si="7">C4+C13+C22+C31+C40+C49+C58</f>
        <v>0</v>
      </c>
      <c r="D67" s="50">
        <f t="shared" si="7"/>
        <v>440</v>
      </c>
      <c r="E67" s="33">
        <f t="shared" ref="E67:E73" si="8">C67+D67</f>
        <v>440</v>
      </c>
    </row>
    <row r="68" spans="1:7" s="9" customFormat="1" x14ac:dyDescent="0.3">
      <c r="A68" s="34"/>
      <c r="B68" s="35" t="str">
        <f t="shared" ref="B68:B73" si="9">B5</f>
        <v>Ak15</v>
      </c>
      <c r="C68" s="36">
        <f t="shared" si="7"/>
        <v>100</v>
      </c>
      <c r="D68" s="37">
        <f t="shared" si="7"/>
        <v>320</v>
      </c>
      <c r="E68" s="38">
        <f t="shared" si="8"/>
        <v>420</v>
      </c>
    </row>
    <row r="69" spans="1:7" s="9" customFormat="1" x14ac:dyDescent="0.3">
      <c r="A69" s="39"/>
      <c r="B69" s="40" t="str">
        <f t="shared" si="9"/>
        <v>G1800</v>
      </c>
      <c r="C69" s="41">
        <f t="shared" si="7"/>
        <v>1320</v>
      </c>
      <c r="D69" s="42">
        <f t="shared" si="7"/>
        <v>3825</v>
      </c>
      <c r="E69" s="43">
        <f t="shared" si="8"/>
        <v>5145</v>
      </c>
    </row>
    <row r="70" spans="1:7" s="9" customFormat="1" x14ac:dyDescent="0.3">
      <c r="A70" s="34"/>
      <c r="B70" s="35" t="str">
        <f t="shared" si="9"/>
        <v>G3500</v>
      </c>
      <c r="C70" s="36">
        <f t="shared" si="7"/>
        <v>40</v>
      </c>
      <c r="D70" s="37">
        <f t="shared" si="7"/>
        <v>275</v>
      </c>
      <c r="E70" s="38">
        <f t="shared" si="8"/>
        <v>315</v>
      </c>
    </row>
    <row r="71" spans="1:7" s="9" customFormat="1" x14ac:dyDescent="0.3">
      <c r="A71" s="39"/>
      <c r="B71" s="40" t="str">
        <f t="shared" si="9"/>
        <v>G800</v>
      </c>
      <c r="C71" s="41">
        <f t="shared" si="7"/>
        <v>660</v>
      </c>
      <c r="D71" s="42">
        <f t="shared" si="7"/>
        <v>1870</v>
      </c>
      <c r="E71" s="43">
        <f t="shared" si="8"/>
        <v>2530</v>
      </c>
    </row>
    <row r="72" spans="1:7" s="9" customFormat="1" x14ac:dyDescent="0.3">
      <c r="A72" s="34"/>
      <c r="B72" s="35" t="str">
        <f t="shared" si="9"/>
        <v>MiK</v>
      </c>
      <c r="C72" s="36">
        <f t="shared" si="7"/>
        <v>110</v>
      </c>
      <c r="D72" s="37">
        <f t="shared" si="7"/>
        <v>390</v>
      </c>
      <c r="E72" s="38">
        <f t="shared" si="8"/>
        <v>500</v>
      </c>
    </row>
    <row r="73" spans="1:7" s="9" customFormat="1" ht="15" thickBot="1" x14ac:dyDescent="0.35">
      <c r="A73" s="32"/>
      <c r="B73" s="29" t="str">
        <f t="shared" si="9"/>
        <v>MiP</v>
      </c>
      <c r="C73" s="44">
        <f t="shared" si="7"/>
        <v>270</v>
      </c>
      <c r="D73" s="45">
        <f t="shared" si="7"/>
        <v>90</v>
      </c>
      <c r="E73" s="46">
        <f t="shared" si="8"/>
        <v>360</v>
      </c>
    </row>
    <row r="74" spans="1:7" s="9" customFormat="1" ht="15.6" thickTop="1" thickBot="1" x14ac:dyDescent="0.35">
      <c r="A74" s="26" t="s">
        <v>68</v>
      </c>
      <c r="B74" s="24" t="s">
        <v>54</v>
      </c>
      <c r="C74" s="27">
        <f>SUM(C67:C73)</f>
        <v>2500</v>
      </c>
      <c r="D74" s="27">
        <f>SUM(D67:D73)</f>
        <v>7210</v>
      </c>
      <c r="E74" s="28">
        <f>SUM(E67:E73)</f>
        <v>9710</v>
      </c>
      <c r="F74" s="9">
        <v>672.85714285714289</v>
      </c>
      <c r="G74" s="83">
        <f>E74+F74</f>
        <v>10382.857142857143</v>
      </c>
    </row>
    <row r="75" spans="1:7" ht="15" thickBot="1" x14ac:dyDescent="0.35"/>
    <row r="76" spans="1:7" x14ac:dyDescent="0.3">
      <c r="A76" s="47">
        <f>'05Движение'!A76</f>
        <v>46279</v>
      </c>
      <c r="B76" s="48" t="str">
        <f>'05Движение'!B76</f>
        <v>Ak10</v>
      </c>
      <c r="C76" s="49">
        <f>IF('05Движение'!D76&gt;0,'05Движение'!D76*'02Тариф'!$B$3,0)</f>
        <v>100</v>
      </c>
      <c r="D76" s="50">
        <f>IF('05Движение'!E76&gt;0,'05Движение'!E76*('02Тариф'!$B$4+'02Тариф'!$B$5+'02Тариф'!$B$6),0)</f>
        <v>40</v>
      </c>
      <c r="E76" s="33">
        <f>C76+D76</f>
        <v>140</v>
      </c>
    </row>
    <row r="77" spans="1:7" x14ac:dyDescent="0.3">
      <c r="A77" s="34">
        <f>'05Движение'!A77</f>
        <v>46279</v>
      </c>
      <c r="B77" s="35" t="str">
        <f>'05Движение'!B77</f>
        <v>Ak15</v>
      </c>
      <c r="C77" s="36">
        <f>IF('05Движение'!D77&gt;0,'05Движение'!D77*'02Тариф'!$B$3,0)</f>
        <v>0</v>
      </c>
      <c r="D77" s="37">
        <f>IF('05Движение'!E77&gt;0,'05Движение'!E77*('02Тариф'!$B$4+'02Тариф'!$B$5+'02Тариф'!$B$6),0)</f>
        <v>80</v>
      </c>
      <c r="E77" s="38">
        <f t="shared" ref="E77:E82" si="10">SUM(C77:D77)</f>
        <v>80</v>
      </c>
    </row>
    <row r="78" spans="1:7" x14ac:dyDescent="0.3">
      <c r="A78" s="39">
        <f>'05Движение'!A78</f>
        <v>46279</v>
      </c>
      <c r="B78" s="40" t="str">
        <f>'05Движение'!B78</f>
        <v>G1800</v>
      </c>
      <c r="C78" s="41">
        <f>IF('05Движение'!D78&gt;0,'05Движение'!D78*'02Тариф'!$D$3,0)</f>
        <v>0</v>
      </c>
      <c r="D78" s="42">
        <f>IF('05Движение'!E78&gt;0,'05Движение'!E78*('02Тариф'!$D$4+'02Тариф'!$D$5+'02Тариф'!$D$6),0)</f>
        <v>525</v>
      </c>
      <c r="E78" s="43">
        <f t="shared" si="10"/>
        <v>525</v>
      </c>
    </row>
    <row r="79" spans="1:7" x14ac:dyDescent="0.3">
      <c r="A79" s="34">
        <f>'05Движение'!A79</f>
        <v>46279</v>
      </c>
      <c r="B79" s="35" t="str">
        <f>'05Движение'!B79</f>
        <v>G3500</v>
      </c>
      <c r="C79" s="36">
        <f>IF('05Движение'!D79&gt;0,'05Движение'!D79*'02Тариф'!$C$3,0)</f>
        <v>140</v>
      </c>
      <c r="D79" s="37">
        <f>IF('05Движение'!E79&gt;0,'05Движение'!E79*('02Тариф'!$C$4+'02Тариф'!$C$5+'02Тариф'!$C$6),0)</f>
        <v>0</v>
      </c>
      <c r="E79" s="38">
        <f t="shared" si="10"/>
        <v>140</v>
      </c>
    </row>
    <row r="80" spans="1:7" x14ac:dyDescent="0.3">
      <c r="A80" s="39">
        <f>'05Движение'!A80</f>
        <v>46279</v>
      </c>
      <c r="B80" s="40" t="str">
        <f>'05Движение'!B80</f>
        <v>G800</v>
      </c>
      <c r="C80" s="41">
        <f>IF('05Движение'!D80&gt;0,'05Движение'!D80*'02Тариф'!$C$3,0)</f>
        <v>0</v>
      </c>
      <c r="D80" s="42">
        <f>IF('05Движение'!E80&gt;0,'05Движение'!E80*('02Тариф'!$C$4+'02Тариф'!$C$5+'02Тариф'!$C$6),0)</f>
        <v>275</v>
      </c>
      <c r="E80" s="43">
        <f t="shared" si="10"/>
        <v>275</v>
      </c>
    </row>
    <row r="81" spans="1:5" x14ac:dyDescent="0.3">
      <c r="A81" s="34">
        <f>'05Движение'!A81</f>
        <v>46279</v>
      </c>
      <c r="B81" s="35" t="str">
        <f>'05Движение'!B81</f>
        <v>MiK</v>
      </c>
      <c r="C81" s="36">
        <f>IF('05Движение'!D81&gt;0,'05Движение'!D81*'02Тариф'!$B$3,0)</f>
        <v>200</v>
      </c>
      <c r="D81" s="37">
        <f>IF('05Движение'!E81&gt;0,'05Движение'!E81*('02Тариф'!$B$5+'02Тариф'!$B$6),0)</f>
        <v>60</v>
      </c>
      <c r="E81" s="38">
        <f t="shared" si="10"/>
        <v>260</v>
      </c>
    </row>
    <row r="82" spans="1:5" ht="15" thickBot="1" x14ac:dyDescent="0.35">
      <c r="A82" s="32">
        <f>'05Движение'!A82</f>
        <v>46279</v>
      </c>
      <c r="B82" s="29" t="str">
        <f>'05Движение'!B82</f>
        <v>MiP</v>
      </c>
      <c r="C82" s="44">
        <f>IF('05Движение'!D82&gt;0,'05Движение'!D82*'02Тариф'!$B$3,0)</f>
        <v>0</v>
      </c>
      <c r="D82" s="45">
        <f>IF('05Движение'!E82&gt;0,'05Движение'!E82*('02Тариф'!$B$5+'02Тариф'!$B$6),0)</f>
        <v>30</v>
      </c>
      <c r="E82" s="46">
        <f t="shared" si="10"/>
        <v>30</v>
      </c>
    </row>
    <row r="83" spans="1:5" ht="15.6" thickTop="1" thickBot="1" x14ac:dyDescent="0.35">
      <c r="A83" s="26" t="str">
        <f>'05Движение'!A83</f>
        <v>ПН</v>
      </c>
      <c r="B83" s="24" t="s">
        <v>45</v>
      </c>
      <c r="C83" s="27">
        <f>SUM(C76:C82)</f>
        <v>440</v>
      </c>
      <c r="D83" s="27">
        <f>SUM(D76:D82)</f>
        <v>1010</v>
      </c>
      <c r="E83" s="28">
        <f>SUM(E76:E82)</f>
        <v>1450</v>
      </c>
    </row>
    <row r="84" spans="1:5" ht="15" thickBot="1" x14ac:dyDescent="0.35"/>
    <row r="85" spans="1:5" x14ac:dyDescent="0.3">
      <c r="A85" s="47">
        <f>'05Движение'!A85</f>
        <v>46280</v>
      </c>
      <c r="B85" s="48" t="str">
        <f>'05Движение'!B85</f>
        <v>Ak10</v>
      </c>
      <c r="C85" s="49">
        <f>IF('05Движение'!D85&gt;0,'05Движение'!D85*'02Тариф'!$B$3,0)</f>
        <v>0</v>
      </c>
      <c r="D85" s="50">
        <f>IF('05Движение'!E85&gt;0,'05Движение'!E85*('02Тариф'!$B$4+'02Тариф'!$B$5+'02Тариф'!$B$6),0)</f>
        <v>0</v>
      </c>
      <c r="E85" s="33">
        <f>C85+D85</f>
        <v>0</v>
      </c>
    </row>
    <row r="86" spans="1:5" x14ac:dyDescent="0.3">
      <c r="A86" s="34">
        <f>'05Движение'!A86</f>
        <v>46280</v>
      </c>
      <c r="B86" s="35" t="str">
        <f>'05Движение'!B86</f>
        <v>Ak15</v>
      </c>
      <c r="C86" s="36">
        <f>IF('05Движение'!D86&gt;0,'05Движение'!D86*'02Тариф'!$B$3,0)</f>
        <v>0</v>
      </c>
      <c r="D86" s="37">
        <f>IF('05Движение'!E86&gt;0,'05Движение'!E86*('02Тариф'!$B$4+'02Тариф'!$B$5+'02Тариф'!$B$6),0)</f>
        <v>0</v>
      </c>
      <c r="E86" s="38">
        <f t="shared" ref="E86:E91" si="11">SUM(C86:D86)</f>
        <v>0</v>
      </c>
    </row>
    <row r="87" spans="1:5" x14ac:dyDescent="0.3">
      <c r="A87" s="39">
        <f>'05Движение'!A87</f>
        <v>46280</v>
      </c>
      <c r="B87" s="40" t="str">
        <f>'05Движение'!B87</f>
        <v>G1800</v>
      </c>
      <c r="C87" s="41">
        <f>IF('05Движение'!D87&gt;0,'05Движение'!D87*'02Тариф'!$D$3,0)</f>
        <v>0</v>
      </c>
      <c r="D87" s="42">
        <f>IF('05Движение'!E87&gt;0,'05Движение'!E87*('02Тариф'!$D$4+'02Тариф'!$D$5+'02Тариф'!$D$6),0)</f>
        <v>0</v>
      </c>
      <c r="E87" s="43">
        <f t="shared" si="11"/>
        <v>0</v>
      </c>
    </row>
    <row r="88" spans="1:5" x14ac:dyDescent="0.3">
      <c r="A88" s="34">
        <f>'05Движение'!A88</f>
        <v>46280</v>
      </c>
      <c r="B88" s="35" t="str">
        <f>'05Движение'!B88</f>
        <v>G3500</v>
      </c>
      <c r="C88" s="36">
        <f>IF('05Движение'!D88&gt;0,'05Движение'!D88*'02Тариф'!$C$3,0)</f>
        <v>0</v>
      </c>
      <c r="D88" s="37">
        <f>IF('05Движение'!E88&gt;0,'05Движение'!E88*('02Тариф'!$C$4+'02Тариф'!$C$5+'02Тариф'!$C$6),0)</f>
        <v>0</v>
      </c>
      <c r="E88" s="38">
        <f t="shared" si="11"/>
        <v>0</v>
      </c>
    </row>
    <row r="89" spans="1:5" x14ac:dyDescent="0.3">
      <c r="A89" s="39">
        <f>'05Движение'!A89</f>
        <v>46280</v>
      </c>
      <c r="B89" s="40" t="str">
        <f>'05Движение'!B89</f>
        <v>G800</v>
      </c>
      <c r="C89" s="41">
        <f>IF('05Движение'!D89&gt;0,'05Движение'!D89*'02Тариф'!$C$3,0)</f>
        <v>0</v>
      </c>
      <c r="D89" s="42">
        <f>IF('05Движение'!E89&gt;0,'05Движение'!E89*('02Тариф'!$C$4+'02Тариф'!$C$5+'02Тариф'!$C$6),0)</f>
        <v>0</v>
      </c>
      <c r="E89" s="43">
        <f t="shared" si="11"/>
        <v>0</v>
      </c>
    </row>
    <row r="90" spans="1:5" x14ac:dyDescent="0.3">
      <c r="A90" s="34">
        <f>'05Движение'!A90</f>
        <v>46280</v>
      </c>
      <c r="B90" s="35" t="str">
        <f>'05Движение'!B90</f>
        <v>MiK</v>
      </c>
      <c r="C90" s="36">
        <f>IF('05Движение'!D90&gt;0,'05Движение'!D90*'02Тариф'!$B$3,0)</f>
        <v>0</v>
      </c>
      <c r="D90" s="37">
        <f>IF('05Движение'!E90&gt;0,'05Движение'!E90*('02Тариф'!$B$5+'02Тариф'!$B$6),0)</f>
        <v>0</v>
      </c>
      <c r="E90" s="38">
        <f t="shared" si="11"/>
        <v>0</v>
      </c>
    </row>
    <row r="91" spans="1:5" ht="15" thickBot="1" x14ac:dyDescent="0.35">
      <c r="A91" s="32">
        <f>'05Движение'!A91</f>
        <v>46280</v>
      </c>
      <c r="B91" s="29" t="str">
        <f>'05Движение'!B91</f>
        <v>MiP</v>
      </c>
      <c r="C91" s="44">
        <f>IF('05Движение'!D91&gt;0,'05Движение'!D91*'02Тариф'!$B$3,0)</f>
        <v>0</v>
      </c>
      <c r="D91" s="45">
        <f>IF('05Движение'!E91&gt;0,'05Движение'!E91*('02Тариф'!$B$5+'02Тариф'!$B$6),0)</f>
        <v>0</v>
      </c>
      <c r="E91" s="46">
        <f t="shared" si="11"/>
        <v>0</v>
      </c>
    </row>
    <row r="92" spans="1:5" ht="15.6" thickTop="1" thickBot="1" x14ac:dyDescent="0.35">
      <c r="A92" s="26" t="str">
        <f>A20</f>
        <v>ВТ</v>
      </c>
      <c r="B92" s="24" t="s">
        <v>43</v>
      </c>
      <c r="C92" s="27">
        <f>SUM(C85:C91)</f>
        <v>0</v>
      </c>
      <c r="D92" s="27">
        <f>SUM(D85:D91)</f>
        <v>0</v>
      </c>
      <c r="E92" s="28">
        <f>SUM(E85:E91)</f>
        <v>0</v>
      </c>
    </row>
    <row r="93" spans="1:5" ht="15" thickBot="1" x14ac:dyDescent="0.35">
      <c r="A93" s="9"/>
      <c r="B93" s="9"/>
      <c r="C93" s="9"/>
      <c r="D93" s="9"/>
      <c r="E93" s="9"/>
    </row>
    <row r="94" spans="1:5" x14ac:dyDescent="0.3">
      <c r="A94" s="47">
        <f>'05Движение'!A94</f>
        <v>46281</v>
      </c>
      <c r="B94" s="48" t="str">
        <f>'05Движение'!B94</f>
        <v>Ak10</v>
      </c>
      <c r="C94" s="49">
        <f>IF('05Движение'!D94&gt;0,'05Движение'!D94*'02Тариф'!$B$3,0)</f>
        <v>0</v>
      </c>
      <c r="D94" s="50">
        <f>IF('05Движение'!E94&gt;0,'05Движение'!E94*('02Тариф'!$B$4+'02Тариф'!$B$5+'02Тариф'!$B$6),0)</f>
        <v>0</v>
      </c>
      <c r="E94" s="33">
        <f>C94+D94</f>
        <v>0</v>
      </c>
    </row>
    <row r="95" spans="1:5" x14ac:dyDescent="0.3">
      <c r="A95" s="34">
        <f>'05Движение'!A95</f>
        <v>46281</v>
      </c>
      <c r="B95" s="35" t="str">
        <f>'05Движение'!B95</f>
        <v>Ak15</v>
      </c>
      <c r="C95" s="36">
        <f>IF('05Движение'!D95&gt;0,'05Движение'!D95*'02Тариф'!$B$3,0)</f>
        <v>0</v>
      </c>
      <c r="D95" s="37">
        <f>IF('05Движение'!E95&gt;0,'05Движение'!E95*('02Тариф'!$B$4+'02Тариф'!$B$5+'02Тариф'!$B$6),0)</f>
        <v>0</v>
      </c>
      <c r="E95" s="38">
        <f t="shared" ref="E95:E100" si="12">SUM(C95:D95)</f>
        <v>0</v>
      </c>
    </row>
    <row r="96" spans="1:5" x14ac:dyDescent="0.3">
      <c r="A96" s="39">
        <f>'05Движение'!A96</f>
        <v>46281</v>
      </c>
      <c r="B96" s="40" t="str">
        <f>'05Движение'!B96</f>
        <v>G1800</v>
      </c>
      <c r="C96" s="41">
        <f>IF('05Движение'!D96&gt;0,'05Движение'!D96*'02Тариф'!$D$3,0)</f>
        <v>0</v>
      </c>
      <c r="D96" s="42">
        <f>IF('05Движение'!E96&gt;0,'05Движение'!E96*('02Тариф'!$D$4+'02Тариф'!$D$5+'02Тариф'!$D$6),0)</f>
        <v>0</v>
      </c>
      <c r="E96" s="43">
        <f t="shared" si="12"/>
        <v>0</v>
      </c>
    </row>
    <row r="97" spans="1:5" x14ac:dyDescent="0.3">
      <c r="A97" s="34">
        <f>'05Движение'!A97</f>
        <v>46281</v>
      </c>
      <c r="B97" s="35" t="str">
        <f>'05Движение'!B97</f>
        <v>G3500</v>
      </c>
      <c r="C97" s="36">
        <f>IF('05Движение'!D97&gt;0,'05Движение'!D97*'02Тариф'!$C$3,0)</f>
        <v>0</v>
      </c>
      <c r="D97" s="37">
        <f>IF('05Движение'!E97&gt;0,'05Движение'!E97*('02Тариф'!$C$4+'02Тариф'!$C$5+'02Тариф'!$C$6),0)</f>
        <v>0</v>
      </c>
      <c r="E97" s="38">
        <f t="shared" si="12"/>
        <v>0</v>
      </c>
    </row>
    <row r="98" spans="1:5" x14ac:dyDescent="0.3">
      <c r="A98" s="39">
        <f>'05Движение'!A98</f>
        <v>46281</v>
      </c>
      <c r="B98" s="40" t="str">
        <f>'05Движение'!B98</f>
        <v>G800</v>
      </c>
      <c r="C98" s="41">
        <f>IF('05Движение'!D98&gt;0,'05Движение'!D98*'02Тариф'!$C$3,0)</f>
        <v>0</v>
      </c>
      <c r="D98" s="42">
        <f>IF('05Движение'!E98&gt;0,'05Движение'!E98*('02Тариф'!$C$4+'02Тариф'!$C$5+'02Тариф'!$C$6),0)</f>
        <v>0</v>
      </c>
      <c r="E98" s="43">
        <f t="shared" si="12"/>
        <v>0</v>
      </c>
    </row>
    <row r="99" spans="1:5" x14ac:dyDescent="0.3">
      <c r="A99" s="34">
        <f>'05Движение'!A99</f>
        <v>46281</v>
      </c>
      <c r="B99" s="35" t="str">
        <f>'05Движение'!B99</f>
        <v>MiK</v>
      </c>
      <c r="C99" s="36">
        <f>IF('05Движение'!D99&gt;0,'05Движение'!D99*'02Тариф'!$B$3,0)</f>
        <v>0</v>
      </c>
      <c r="D99" s="37">
        <f>IF('05Движение'!E99&gt;0,'05Движение'!E99*('02Тариф'!$B$5+'02Тариф'!$B$6),0)</f>
        <v>0</v>
      </c>
      <c r="E99" s="38">
        <f t="shared" si="12"/>
        <v>0</v>
      </c>
    </row>
    <row r="100" spans="1:5" ht="15" thickBot="1" x14ac:dyDescent="0.35">
      <c r="A100" s="32">
        <f>'05Движение'!A100</f>
        <v>46281</v>
      </c>
      <c r="B100" s="29" t="str">
        <f>'05Движение'!B100</f>
        <v>MiP</v>
      </c>
      <c r="C100" s="44">
        <f>IF('05Движение'!D100&gt;0,'05Движение'!D100*'02Тариф'!$B$3,0)</f>
        <v>0</v>
      </c>
      <c r="D100" s="45">
        <f>IF('05Движение'!E100&gt;0,'05Движение'!E100*('02Тариф'!$B$5+'02Тариф'!$B$6),0)</f>
        <v>0</v>
      </c>
      <c r="E100" s="46">
        <f t="shared" si="12"/>
        <v>0</v>
      </c>
    </row>
    <row r="101" spans="1:5" ht="15.6" thickTop="1" thickBot="1" x14ac:dyDescent="0.35">
      <c r="A101" s="26" t="str">
        <f>A29</f>
        <v>СР</v>
      </c>
      <c r="B101" s="24" t="s">
        <v>43</v>
      </c>
      <c r="C101" s="27">
        <f>SUM(C94:C100)</f>
        <v>0</v>
      </c>
      <c r="D101" s="27">
        <f>SUM(D94:D100)</f>
        <v>0</v>
      </c>
      <c r="E101" s="28">
        <f>SUM(E94:E100)</f>
        <v>0</v>
      </c>
    </row>
    <row r="102" spans="1:5" ht="15" thickBot="1" x14ac:dyDescent="0.35">
      <c r="A102" s="9"/>
      <c r="B102" s="9"/>
      <c r="C102" s="9"/>
      <c r="D102" s="9"/>
      <c r="E102" s="9"/>
    </row>
    <row r="103" spans="1:5" x14ac:dyDescent="0.3">
      <c r="A103" s="47">
        <f>'05Движение'!A103</f>
        <v>46282</v>
      </c>
      <c r="B103" s="48" t="str">
        <f>'05Движение'!B103</f>
        <v>Ak10</v>
      </c>
      <c r="C103" s="49">
        <f>IF('05Движение'!D103&gt;0,'05Движение'!D103*'02Тариф'!$B$3,0)</f>
        <v>0</v>
      </c>
      <c r="D103" s="50">
        <f>IF('05Движение'!E103&gt;0,'05Движение'!E103*('02Тариф'!$B$4+'02Тариф'!$B$5+'02Тариф'!$B$6),0)</f>
        <v>0</v>
      </c>
      <c r="E103" s="33">
        <f>C103+D103</f>
        <v>0</v>
      </c>
    </row>
    <row r="104" spans="1:5" x14ac:dyDescent="0.3">
      <c r="A104" s="34">
        <f>'05Движение'!A104</f>
        <v>46282</v>
      </c>
      <c r="B104" s="35" t="str">
        <f>'05Движение'!B104</f>
        <v>Ak15</v>
      </c>
      <c r="C104" s="36">
        <f>IF('05Движение'!D104&gt;0,'05Движение'!D104*'02Тариф'!$B$3,0)</f>
        <v>0</v>
      </c>
      <c r="D104" s="37">
        <f>IF('05Движение'!E104&gt;0,'05Движение'!E104*('02Тариф'!$B$4+'02Тариф'!$B$5+'02Тариф'!$B$6),0)</f>
        <v>0</v>
      </c>
      <c r="E104" s="38">
        <f t="shared" ref="E104:E109" si="13">SUM(C104:D104)</f>
        <v>0</v>
      </c>
    </row>
    <row r="105" spans="1:5" x14ac:dyDescent="0.3">
      <c r="A105" s="39">
        <f>'05Движение'!A105</f>
        <v>46282</v>
      </c>
      <c r="B105" s="40" t="str">
        <f>'05Движение'!B105</f>
        <v>G1800</v>
      </c>
      <c r="C105" s="41">
        <f>IF('05Движение'!D105&gt;0,'05Движение'!D105*'02Тариф'!$D$3,0)</f>
        <v>0</v>
      </c>
      <c r="D105" s="42">
        <f>IF('05Движение'!E105&gt;0,'05Движение'!E105*('02Тариф'!$D$4+'02Тариф'!$D$5+'02Тариф'!$D$6),0)</f>
        <v>0</v>
      </c>
      <c r="E105" s="43">
        <f t="shared" si="13"/>
        <v>0</v>
      </c>
    </row>
    <row r="106" spans="1:5" x14ac:dyDescent="0.3">
      <c r="A106" s="34">
        <f>'05Движение'!A106</f>
        <v>46282</v>
      </c>
      <c r="B106" s="35" t="str">
        <f>'05Движение'!B106</f>
        <v>G3500</v>
      </c>
      <c r="C106" s="36">
        <f>IF('05Движение'!D106&gt;0,'05Движение'!D106*'02Тариф'!$C$3,0)</f>
        <v>0</v>
      </c>
      <c r="D106" s="37">
        <f>IF('05Движение'!E106&gt;0,'05Движение'!E106*('02Тариф'!$C$4+'02Тариф'!$C$5+'02Тариф'!$C$6),0)</f>
        <v>0</v>
      </c>
      <c r="E106" s="38">
        <f t="shared" si="13"/>
        <v>0</v>
      </c>
    </row>
    <row r="107" spans="1:5" x14ac:dyDescent="0.3">
      <c r="A107" s="39">
        <f>'05Движение'!A107</f>
        <v>46282</v>
      </c>
      <c r="B107" s="40" t="str">
        <f>'05Движение'!B107</f>
        <v>G800</v>
      </c>
      <c r="C107" s="41">
        <f>IF('05Движение'!D107&gt;0,'05Движение'!D107*'02Тариф'!$C$3,0)</f>
        <v>0</v>
      </c>
      <c r="D107" s="42">
        <f>IF('05Движение'!E107&gt;0,'05Движение'!E107*('02Тариф'!$C$4+'02Тариф'!$C$5+'02Тариф'!$C$6),0)</f>
        <v>0</v>
      </c>
      <c r="E107" s="43">
        <f t="shared" si="13"/>
        <v>0</v>
      </c>
    </row>
    <row r="108" spans="1:5" x14ac:dyDescent="0.3">
      <c r="A108" s="34">
        <f>'05Движение'!A108</f>
        <v>46282</v>
      </c>
      <c r="B108" s="35" t="str">
        <f>'05Движение'!B108</f>
        <v>MiK</v>
      </c>
      <c r="C108" s="36">
        <f>IF('05Движение'!D108&gt;0,'05Движение'!D108*'02Тариф'!$B$3,0)</f>
        <v>0</v>
      </c>
      <c r="D108" s="37">
        <f>IF('05Движение'!E108&gt;0,'05Движение'!E108*('02Тариф'!$B$5+'02Тариф'!$B$6),0)</f>
        <v>0</v>
      </c>
      <c r="E108" s="38">
        <f t="shared" si="13"/>
        <v>0</v>
      </c>
    </row>
    <row r="109" spans="1:5" ht="15" thickBot="1" x14ac:dyDescent="0.35">
      <c r="A109" s="32">
        <f>'05Движение'!A109</f>
        <v>46282</v>
      </c>
      <c r="B109" s="29" t="str">
        <f>'05Движение'!B109</f>
        <v>MiP</v>
      </c>
      <c r="C109" s="44">
        <f>IF('05Движение'!D109&gt;0,'05Движение'!D109*'02Тариф'!$B$3,0)</f>
        <v>0</v>
      </c>
      <c r="D109" s="45">
        <f>IF('05Движение'!E109&gt;0,'05Движение'!E109*('02Тариф'!$B$5+'02Тариф'!$B$6),0)</f>
        <v>0</v>
      </c>
      <c r="E109" s="46">
        <f t="shared" si="13"/>
        <v>0</v>
      </c>
    </row>
    <row r="110" spans="1:5" ht="15.6" thickTop="1" thickBot="1" x14ac:dyDescent="0.35">
      <c r="A110" s="26" t="str">
        <f>A38</f>
        <v>ЧТ</v>
      </c>
      <c r="B110" s="24" t="s">
        <v>43</v>
      </c>
      <c r="C110" s="27">
        <f>SUM(C103:C109)</f>
        <v>0</v>
      </c>
      <c r="D110" s="27">
        <f>SUM(D103:D109)</f>
        <v>0</v>
      </c>
      <c r="E110" s="28">
        <f>SUM(E103:E109)</f>
        <v>0</v>
      </c>
    </row>
    <row r="111" spans="1:5" ht="15" thickBot="1" x14ac:dyDescent="0.35">
      <c r="A111" s="9"/>
      <c r="B111" s="9"/>
      <c r="C111" s="9"/>
      <c r="D111" s="9"/>
      <c r="E111" s="9"/>
    </row>
    <row r="112" spans="1:5" x14ac:dyDescent="0.3">
      <c r="A112" s="47">
        <f>'05Движение'!A112</f>
        <v>46283</v>
      </c>
      <c r="B112" s="48" t="str">
        <f>'05Движение'!B112</f>
        <v>Ak10</v>
      </c>
      <c r="C112" s="49">
        <f>IF('05Движение'!D112&gt;0,'05Движение'!D112*'02Тариф'!$B$3,0)</f>
        <v>0</v>
      </c>
      <c r="D112" s="50">
        <f>IF('05Движение'!E112&gt;0,'05Движение'!E112*('02Тариф'!$B$4+'02Тариф'!$B$5+'02Тариф'!$B$6),0)</f>
        <v>0</v>
      </c>
      <c r="E112" s="33">
        <f>C112+D112</f>
        <v>0</v>
      </c>
    </row>
    <row r="113" spans="1:5" x14ac:dyDescent="0.3">
      <c r="A113" s="34">
        <f>'05Движение'!A113</f>
        <v>46283</v>
      </c>
      <c r="B113" s="35" t="str">
        <f>'05Движение'!B113</f>
        <v>Ak15</v>
      </c>
      <c r="C113" s="36">
        <f>IF('05Движение'!D113&gt;0,'05Движение'!D113*'02Тариф'!$B$3,0)</f>
        <v>0</v>
      </c>
      <c r="D113" s="37">
        <f>IF('05Движение'!E113&gt;0,'05Движение'!E113*('02Тариф'!$B$4+'02Тариф'!$B$5+'02Тариф'!$B$6),0)</f>
        <v>0</v>
      </c>
      <c r="E113" s="38">
        <f t="shared" ref="E113:E118" si="14">SUM(C113:D113)</f>
        <v>0</v>
      </c>
    </row>
    <row r="114" spans="1:5" x14ac:dyDescent="0.3">
      <c r="A114" s="39">
        <f>'05Движение'!A114</f>
        <v>46283</v>
      </c>
      <c r="B114" s="40" t="str">
        <f>'05Движение'!B114</f>
        <v>G1800</v>
      </c>
      <c r="C114" s="41">
        <f>IF('05Движение'!D114&gt;0,'05Движение'!D114*'02Тариф'!$D$3,0)</f>
        <v>0</v>
      </c>
      <c r="D114" s="42">
        <f>IF('05Движение'!E114&gt;0,'05Движение'!E114*('02Тариф'!$D$4+'02Тариф'!$D$5+'02Тариф'!$D$6),0)</f>
        <v>0</v>
      </c>
      <c r="E114" s="43">
        <f t="shared" si="14"/>
        <v>0</v>
      </c>
    </row>
    <row r="115" spans="1:5" x14ac:dyDescent="0.3">
      <c r="A115" s="34">
        <f>'05Движение'!A115</f>
        <v>46283</v>
      </c>
      <c r="B115" s="35" t="str">
        <f>'05Движение'!B115</f>
        <v>G3500</v>
      </c>
      <c r="C115" s="36">
        <f>IF('05Движение'!D115&gt;0,'05Движение'!D115*'02Тариф'!$C$3,0)</f>
        <v>0</v>
      </c>
      <c r="D115" s="37">
        <f>IF('05Движение'!E115&gt;0,'05Движение'!E115*('02Тариф'!$C$4+'02Тариф'!$C$5+'02Тариф'!$C$6),0)</f>
        <v>0</v>
      </c>
      <c r="E115" s="38">
        <f t="shared" si="14"/>
        <v>0</v>
      </c>
    </row>
    <row r="116" spans="1:5" x14ac:dyDescent="0.3">
      <c r="A116" s="39">
        <f>'05Движение'!A116</f>
        <v>46283</v>
      </c>
      <c r="B116" s="40" t="str">
        <f>'05Движение'!B116</f>
        <v>G800</v>
      </c>
      <c r="C116" s="41">
        <f>IF('05Движение'!D116&gt;0,'05Движение'!D116*'02Тариф'!$C$3,0)</f>
        <v>0</v>
      </c>
      <c r="D116" s="42">
        <f>IF('05Движение'!E116&gt;0,'05Движение'!E116*('02Тариф'!$C$4+'02Тариф'!$C$5+'02Тариф'!$C$6),0)</f>
        <v>0</v>
      </c>
      <c r="E116" s="43">
        <f t="shared" si="14"/>
        <v>0</v>
      </c>
    </row>
    <row r="117" spans="1:5" x14ac:dyDescent="0.3">
      <c r="A117" s="34">
        <f>'05Движение'!A117</f>
        <v>46283</v>
      </c>
      <c r="B117" s="35" t="str">
        <f>'05Движение'!B117</f>
        <v>MiK</v>
      </c>
      <c r="C117" s="36">
        <f>IF('05Движение'!D117&gt;0,'05Движение'!D117*'02Тариф'!$B$3,0)</f>
        <v>0</v>
      </c>
      <c r="D117" s="37">
        <f>IF('05Движение'!E117&gt;0,'05Движение'!E117*('02Тариф'!$B$5+'02Тариф'!$B$6),0)</f>
        <v>0</v>
      </c>
      <c r="E117" s="38">
        <f t="shared" si="14"/>
        <v>0</v>
      </c>
    </row>
    <row r="118" spans="1:5" ht="15" thickBot="1" x14ac:dyDescent="0.35">
      <c r="A118" s="32">
        <f>'05Движение'!A118</f>
        <v>46283</v>
      </c>
      <c r="B118" s="29" t="str">
        <f>'05Движение'!B118</f>
        <v>MiP</v>
      </c>
      <c r="C118" s="44">
        <f>IF('05Движение'!D118&gt;0,'05Движение'!D118*'02Тариф'!$B$3,0)</f>
        <v>0</v>
      </c>
      <c r="D118" s="45">
        <f>IF('05Движение'!E118&gt;0,'05Движение'!E118*('02Тариф'!$B$5+'02Тариф'!$B$6),0)</f>
        <v>0</v>
      </c>
      <c r="E118" s="46">
        <f t="shared" si="14"/>
        <v>0</v>
      </c>
    </row>
    <row r="119" spans="1:5" ht="15.6" thickTop="1" thickBot="1" x14ac:dyDescent="0.35">
      <c r="A119" s="26" t="str">
        <f>A47</f>
        <v>ПТ</v>
      </c>
      <c r="B119" s="24" t="s">
        <v>45</v>
      </c>
      <c r="C119" s="27">
        <f>SUM(C112:C118)</f>
        <v>0</v>
      </c>
      <c r="D119" s="27">
        <f>SUM(D112:D118)</f>
        <v>0</v>
      </c>
      <c r="E119" s="28">
        <f>SUM(E112:E118)</f>
        <v>0</v>
      </c>
    </row>
    <row r="120" spans="1:5" ht="15" thickBot="1" x14ac:dyDescent="0.35">
      <c r="A120" s="9"/>
      <c r="B120" s="9"/>
      <c r="C120" s="9"/>
      <c r="D120" s="9"/>
      <c r="E120" s="9"/>
    </row>
    <row r="121" spans="1:5" x14ac:dyDescent="0.3">
      <c r="A121" s="47">
        <f>'05Движение'!A121</f>
        <v>46284</v>
      </c>
      <c r="B121" s="48" t="str">
        <f>'05Движение'!B121</f>
        <v>Ak10</v>
      </c>
      <c r="C121" s="49">
        <f>IF('05Движение'!D121&gt;0,'05Движение'!D121*'02Тариф'!$B$3,0)</f>
        <v>0</v>
      </c>
      <c r="D121" s="50">
        <f>IF('05Движение'!E121&gt;0,'05Движение'!E121*('02Тариф'!$B$4+'02Тариф'!$B$5+'02Тариф'!$B$6),0)</f>
        <v>0</v>
      </c>
      <c r="E121" s="33">
        <f>C121+D121</f>
        <v>0</v>
      </c>
    </row>
    <row r="122" spans="1:5" x14ac:dyDescent="0.3">
      <c r="A122" s="34">
        <f>'05Движение'!A122</f>
        <v>46284</v>
      </c>
      <c r="B122" s="35" t="str">
        <f>'05Движение'!B122</f>
        <v>Ak15</v>
      </c>
      <c r="C122" s="36">
        <f>IF('05Движение'!D122&gt;0,'05Движение'!D122*'02Тариф'!$B$3,0)</f>
        <v>0</v>
      </c>
      <c r="D122" s="37">
        <f>IF('05Движение'!E122&gt;0,'05Движение'!E122*('02Тариф'!$B$4+'02Тариф'!$B$5+'02Тариф'!$B$6),0)</f>
        <v>0</v>
      </c>
      <c r="E122" s="38">
        <f t="shared" ref="E122:E127" si="15">SUM(C122:D122)</f>
        <v>0</v>
      </c>
    </row>
    <row r="123" spans="1:5" x14ac:dyDescent="0.3">
      <c r="A123" s="39">
        <f>'05Движение'!A123</f>
        <v>46284</v>
      </c>
      <c r="B123" s="40" t="str">
        <f>'05Движение'!B123</f>
        <v>G1800</v>
      </c>
      <c r="C123" s="41">
        <f>IF('05Движение'!D123&gt;0,'05Движение'!D123*'02Тариф'!$D$3,0)</f>
        <v>0</v>
      </c>
      <c r="D123" s="42">
        <f>IF('05Движение'!E123&gt;0,'05Движение'!E123*('02Тариф'!$D$4+'02Тариф'!$D$5+'02Тариф'!$D$6),0)</f>
        <v>0</v>
      </c>
      <c r="E123" s="43">
        <f t="shared" si="15"/>
        <v>0</v>
      </c>
    </row>
    <row r="124" spans="1:5" x14ac:dyDescent="0.3">
      <c r="A124" s="34">
        <f>'05Движение'!A124</f>
        <v>46284</v>
      </c>
      <c r="B124" s="35" t="str">
        <f>'05Движение'!B124</f>
        <v>G3500</v>
      </c>
      <c r="C124" s="36">
        <f>IF('05Движение'!D124&gt;0,'05Движение'!D124*'02Тариф'!$C$3,0)</f>
        <v>0</v>
      </c>
      <c r="D124" s="37">
        <f>IF('05Движение'!E124&gt;0,'05Движение'!E124*('02Тариф'!$C$4+'02Тариф'!$C$5+'02Тариф'!$C$6),0)</f>
        <v>0</v>
      </c>
      <c r="E124" s="38">
        <f t="shared" si="15"/>
        <v>0</v>
      </c>
    </row>
    <row r="125" spans="1:5" x14ac:dyDescent="0.3">
      <c r="A125" s="39">
        <f>'05Движение'!A125</f>
        <v>46284</v>
      </c>
      <c r="B125" s="40" t="str">
        <f>'05Движение'!B125</f>
        <v>G800</v>
      </c>
      <c r="C125" s="41">
        <f>IF('05Движение'!D125&gt;0,'05Движение'!D125*'02Тариф'!$C$3,0)</f>
        <v>0</v>
      </c>
      <c r="D125" s="42">
        <f>IF('05Движение'!E125&gt;0,'05Движение'!E125*('02Тариф'!$C$4+'02Тариф'!$C$5+'02Тариф'!$C$6),0)</f>
        <v>0</v>
      </c>
      <c r="E125" s="43">
        <f t="shared" si="15"/>
        <v>0</v>
      </c>
    </row>
    <row r="126" spans="1:5" x14ac:dyDescent="0.3">
      <c r="A126" s="34">
        <f>'05Движение'!A126</f>
        <v>46284</v>
      </c>
      <c r="B126" s="35" t="str">
        <f>'05Движение'!B126</f>
        <v>MiK</v>
      </c>
      <c r="C126" s="36">
        <f>IF('05Движение'!D126&gt;0,'05Движение'!D126*'02Тариф'!$B$3,0)</f>
        <v>0</v>
      </c>
      <c r="D126" s="37">
        <f>IF('05Движение'!E126&gt;0,'05Движение'!E126*('02Тариф'!$B$5+'02Тариф'!$B$6),0)</f>
        <v>0</v>
      </c>
      <c r="E126" s="38">
        <f t="shared" si="15"/>
        <v>0</v>
      </c>
    </row>
    <row r="127" spans="1:5" ht="15" thickBot="1" x14ac:dyDescent="0.35">
      <c r="A127" s="32">
        <f>'05Движение'!A127</f>
        <v>46284</v>
      </c>
      <c r="B127" s="29" t="str">
        <f>'05Движение'!B127</f>
        <v>MiP</v>
      </c>
      <c r="C127" s="44">
        <f>IF('05Движение'!D127&gt;0,'05Движение'!D127*'02Тариф'!$B$3,0)</f>
        <v>0</v>
      </c>
      <c r="D127" s="45">
        <f>IF('05Движение'!E127&gt;0,'05Движение'!E127*('02Тариф'!$B$5+'02Тариф'!$B$6),0)</f>
        <v>0</v>
      </c>
      <c r="E127" s="46">
        <f t="shared" si="15"/>
        <v>0</v>
      </c>
    </row>
    <row r="128" spans="1:5" ht="15.6" thickTop="1" thickBot="1" x14ac:dyDescent="0.35">
      <c r="A128" s="26" t="str">
        <f>A56</f>
        <v>СБ</v>
      </c>
      <c r="B128" s="24" t="s">
        <v>43</v>
      </c>
      <c r="C128" s="27">
        <f>SUM(C121:C127)</f>
        <v>0</v>
      </c>
      <c r="D128" s="27">
        <f>SUM(D121:D127)</f>
        <v>0</v>
      </c>
      <c r="E128" s="28">
        <f>SUM(E121:E127)</f>
        <v>0</v>
      </c>
    </row>
    <row r="129" spans="1:11" ht="15" thickBot="1" x14ac:dyDescent="0.35">
      <c r="A129" s="9"/>
      <c r="B129" s="9"/>
      <c r="C129" s="9"/>
      <c r="D129" s="9"/>
      <c r="E129" s="9"/>
    </row>
    <row r="130" spans="1:11" x14ac:dyDescent="0.3">
      <c r="A130" s="47">
        <f>'05Движение'!A130</f>
        <v>46285</v>
      </c>
      <c r="B130" s="48" t="str">
        <f>'05Движение'!B130</f>
        <v>Ak10</v>
      </c>
      <c r="C130" s="49">
        <f>IF('05Движение'!D130&gt;0,'05Движение'!D130*'02Тариф'!$B$3,0)</f>
        <v>0</v>
      </c>
      <c r="D130" s="50">
        <f>IF('05Движение'!E130&gt;0,'05Движение'!E130*('02Тариф'!$B$4+'02Тариф'!$B$5+'02Тариф'!$B$6),0)</f>
        <v>0</v>
      </c>
      <c r="E130" s="33">
        <f>C130+D130</f>
        <v>0</v>
      </c>
    </row>
    <row r="131" spans="1:11" x14ac:dyDescent="0.3">
      <c r="A131" s="34">
        <f>'05Движение'!A131</f>
        <v>46285</v>
      </c>
      <c r="B131" s="35" t="str">
        <f>'05Движение'!B131</f>
        <v>Ak15</v>
      </c>
      <c r="C131" s="36">
        <f>IF('05Движение'!D131&gt;0,'05Движение'!D131*'02Тариф'!$B$3,0)</f>
        <v>0</v>
      </c>
      <c r="D131" s="37">
        <f>IF('05Движение'!E131&gt;0,'05Движение'!E131*('02Тариф'!$B$4+'02Тариф'!$B$5+'02Тариф'!$B$6),0)</f>
        <v>0</v>
      </c>
      <c r="E131" s="38">
        <f t="shared" ref="E131:E136" si="16">SUM(C131:D131)</f>
        <v>0</v>
      </c>
    </row>
    <row r="132" spans="1:11" x14ac:dyDescent="0.3">
      <c r="A132" s="39">
        <f>'05Движение'!A132</f>
        <v>46285</v>
      </c>
      <c r="B132" s="40" t="str">
        <f>'05Движение'!B132</f>
        <v>G1800</v>
      </c>
      <c r="C132" s="41">
        <f>IF('05Движение'!D132&gt;0,'05Движение'!D132*'02Тариф'!$D$3,0)</f>
        <v>0</v>
      </c>
      <c r="D132" s="42">
        <f>IF('05Движение'!E132&gt;0,'05Движение'!E132*('02Тариф'!$D$4+'02Тариф'!$D$5+'02Тариф'!$D$6),0)</f>
        <v>0</v>
      </c>
      <c r="E132" s="43">
        <f t="shared" si="16"/>
        <v>0</v>
      </c>
    </row>
    <row r="133" spans="1:11" x14ac:dyDescent="0.3">
      <c r="A133" s="34">
        <f>'05Движение'!A133</f>
        <v>46285</v>
      </c>
      <c r="B133" s="35" t="str">
        <f>'05Движение'!B133</f>
        <v>G3500</v>
      </c>
      <c r="C133" s="36">
        <f>IF('05Движение'!D133&gt;0,'05Движение'!D133*'02Тариф'!$C$3,0)</f>
        <v>0</v>
      </c>
      <c r="D133" s="37">
        <f>IF('05Движение'!E133&gt;0,'05Движение'!E133*('02Тариф'!$C$4+'02Тариф'!$C$5+'02Тариф'!$C$6),0)</f>
        <v>0</v>
      </c>
      <c r="E133" s="38">
        <f t="shared" si="16"/>
        <v>0</v>
      </c>
    </row>
    <row r="134" spans="1:11" x14ac:dyDescent="0.3">
      <c r="A134" s="39">
        <f>'05Движение'!A134</f>
        <v>46285</v>
      </c>
      <c r="B134" s="40" t="str">
        <f>'05Движение'!B134</f>
        <v>G800</v>
      </c>
      <c r="C134" s="41">
        <f>IF('05Движение'!D134&gt;0,'05Движение'!D134*'02Тариф'!$C$3,0)</f>
        <v>0</v>
      </c>
      <c r="D134" s="42">
        <f>IF('05Движение'!E134&gt;0,'05Движение'!E134*('02Тариф'!$C$4+'02Тариф'!$C$5+'02Тариф'!$C$6),0)</f>
        <v>0</v>
      </c>
      <c r="E134" s="43">
        <f t="shared" si="16"/>
        <v>0</v>
      </c>
    </row>
    <row r="135" spans="1:11" x14ac:dyDescent="0.3">
      <c r="A135" s="34">
        <f>'05Движение'!A135</f>
        <v>46285</v>
      </c>
      <c r="B135" s="35" t="str">
        <f>'05Движение'!B135</f>
        <v>MiK</v>
      </c>
      <c r="C135" s="36">
        <f>IF('05Движение'!D135&gt;0,'05Движение'!D135*'02Тариф'!$B$3,0)</f>
        <v>0</v>
      </c>
      <c r="D135" s="37">
        <f>IF('05Движение'!E135&gt;0,'05Движение'!E135*('02Тариф'!$B$5+'02Тариф'!$B$6),0)</f>
        <v>0</v>
      </c>
      <c r="E135" s="38">
        <f t="shared" si="16"/>
        <v>0</v>
      </c>
    </row>
    <row r="136" spans="1:11" ht="15" thickBot="1" x14ac:dyDescent="0.35">
      <c r="A136" s="32">
        <f>'05Движение'!A136</f>
        <v>46285</v>
      </c>
      <c r="B136" s="29" t="str">
        <f>'05Движение'!B136</f>
        <v>MiP</v>
      </c>
      <c r="C136" s="44">
        <f>IF('05Движение'!D136&gt;0,'05Движение'!D136*'02Тариф'!$B$3,0)</f>
        <v>0</v>
      </c>
      <c r="D136" s="45">
        <f>IF('05Движение'!E136&gt;0,'05Движение'!E136*('02Тариф'!$B$5+'02Тариф'!$B$6),0)</f>
        <v>0</v>
      </c>
      <c r="E136" s="46">
        <f t="shared" si="16"/>
        <v>0</v>
      </c>
      <c r="K136" s="9"/>
    </row>
    <row r="137" spans="1:11" ht="15.6" thickTop="1" thickBot="1" x14ac:dyDescent="0.35">
      <c r="A137" s="26" t="str">
        <f>A65</f>
        <v>ВС</v>
      </c>
      <c r="B137" s="24" t="s">
        <v>43</v>
      </c>
      <c r="C137" s="27">
        <f>SUM(C130:C136)</f>
        <v>0</v>
      </c>
      <c r="D137" s="27">
        <f>SUM(D130:D136)</f>
        <v>0</v>
      </c>
      <c r="E137" s="28">
        <f>SUM(E130:E136)</f>
        <v>0</v>
      </c>
    </row>
    <row r="138" spans="1:11" s="9" customFormat="1" ht="15" thickBot="1" x14ac:dyDescent="0.35"/>
    <row r="139" spans="1:11" s="9" customFormat="1" x14ac:dyDescent="0.3">
      <c r="A139" s="47"/>
      <c r="B139" s="48" t="str">
        <f>B76</f>
        <v>Ak10</v>
      </c>
      <c r="C139" s="49">
        <f t="shared" ref="C139:D145" si="17">C76+C85+C94+C103+C112+C121+C130</f>
        <v>100</v>
      </c>
      <c r="D139" s="50">
        <f t="shared" si="17"/>
        <v>40</v>
      </c>
      <c r="E139" s="33">
        <f t="shared" ref="E139:E145" si="18">C139+D139</f>
        <v>140</v>
      </c>
    </row>
    <row r="140" spans="1:11" s="9" customFormat="1" x14ac:dyDescent="0.3">
      <c r="A140" s="34"/>
      <c r="B140" s="35" t="str">
        <f t="shared" ref="B140:B145" si="19">B77</f>
        <v>Ak15</v>
      </c>
      <c r="C140" s="36">
        <f t="shared" si="17"/>
        <v>0</v>
      </c>
      <c r="D140" s="37">
        <f t="shared" si="17"/>
        <v>80</v>
      </c>
      <c r="E140" s="38">
        <f t="shared" si="18"/>
        <v>80</v>
      </c>
    </row>
    <row r="141" spans="1:11" s="9" customFormat="1" x14ac:dyDescent="0.3">
      <c r="A141" s="39"/>
      <c r="B141" s="40" t="str">
        <f t="shared" si="19"/>
        <v>G1800</v>
      </c>
      <c r="C141" s="41">
        <f t="shared" si="17"/>
        <v>0</v>
      </c>
      <c r="D141" s="42">
        <f t="shared" si="17"/>
        <v>525</v>
      </c>
      <c r="E141" s="43">
        <f t="shared" si="18"/>
        <v>525</v>
      </c>
    </row>
    <row r="142" spans="1:11" s="9" customFormat="1" x14ac:dyDescent="0.3">
      <c r="A142" s="34"/>
      <c r="B142" s="35" t="str">
        <f t="shared" si="19"/>
        <v>G3500</v>
      </c>
      <c r="C142" s="36">
        <f t="shared" si="17"/>
        <v>140</v>
      </c>
      <c r="D142" s="37">
        <f t="shared" si="17"/>
        <v>0</v>
      </c>
      <c r="E142" s="38">
        <f t="shared" si="18"/>
        <v>140</v>
      </c>
    </row>
    <row r="143" spans="1:11" s="9" customFormat="1" x14ac:dyDescent="0.3">
      <c r="A143" s="39"/>
      <c r="B143" s="40" t="str">
        <f t="shared" si="19"/>
        <v>G800</v>
      </c>
      <c r="C143" s="41">
        <f t="shared" si="17"/>
        <v>0</v>
      </c>
      <c r="D143" s="42">
        <f t="shared" si="17"/>
        <v>275</v>
      </c>
      <c r="E143" s="43">
        <f t="shared" si="18"/>
        <v>275</v>
      </c>
    </row>
    <row r="144" spans="1:11" s="9" customFormat="1" x14ac:dyDescent="0.3">
      <c r="A144" s="34"/>
      <c r="B144" s="35" t="str">
        <f t="shared" si="19"/>
        <v>MiK</v>
      </c>
      <c r="C144" s="36">
        <f t="shared" si="17"/>
        <v>200</v>
      </c>
      <c r="D144" s="37">
        <f t="shared" si="17"/>
        <v>60</v>
      </c>
      <c r="E144" s="38">
        <f t="shared" si="18"/>
        <v>260</v>
      </c>
    </row>
    <row r="145" spans="1:5" s="9" customFormat="1" ht="15" thickBot="1" x14ac:dyDescent="0.35">
      <c r="A145" s="32"/>
      <c r="B145" s="29" t="str">
        <f t="shared" si="19"/>
        <v>MiP</v>
      </c>
      <c r="C145" s="44">
        <f t="shared" si="17"/>
        <v>0</v>
      </c>
      <c r="D145" s="45">
        <f t="shared" si="17"/>
        <v>30</v>
      </c>
      <c r="E145" s="46">
        <f t="shared" si="18"/>
        <v>30</v>
      </c>
    </row>
    <row r="146" spans="1:5" s="9" customFormat="1" ht="15.6" thickTop="1" thickBot="1" x14ac:dyDescent="0.35">
      <c r="A146" s="26" t="s">
        <v>68</v>
      </c>
      <c r="B146" s="24" t="s">
        <v>54</v>
      </c>
      <c r="C146" s="27">
        <f>SUM(C139:C145)</f>
        <v>440</v>
      </c>
      <c r="D146" s="27">
        <f>SUM(D139:D145)</f>
        <v>1010</v>
      </c>
      <c r="E146" s="28">
        <f>SUM(E139:E145)</f>
        <v>1450</v>
      </c>
    </row>
    <row r="147" spans="1:5" ht="15" thickBot="1" x14ac:dyDescent="0.35"/>
    <row r="148" spans="1:5" x14ac:dyDescent="0.3">
      <c r="A148" s="47">
        <f t="shared" ref="A148:A154" si="20">A130+1</f>
        <v>46286</v>
      </c>
      <c r="B148" s="48" t="str">
        <f>'05Движение'!B139</f>
        <v>Ak10</v>
      </c>
      <c r="C148" s="49">
        <f>IF('05Движение'!D139&gt;0,'05Движение'!D139*'02Тариф'!$B$3,0)</f>
        <v>100</v>
      </c>
      <c r="D148" s="50">
        <f>IF('05Движение'!E139&gt;0,'05Движение'!E139*('02Тариф'!$B$4+'02Тариф'!$B$5+'02Тариф'!$B$6),0)</f>
        <v>40</v>
      </c>
      <c r="E148" s="33">
        <f>C148+D148</f>
        <v>140</v>
      </c>
    </row>
    <row r="149" spans="1:5" x14ac:dyDescent="0.3">
      <c r="A149" s="34">
        <f t="shared" si="20"/>
        <v>46286</v>
      </c>
      <c r="B149" s="35" t="str">
        <f>'05Движение'!B140</f>
        <v>Ak15</v>
      </c>
      <c r="C149" s="36">
        <f>IF('05Движение'!D140&gt;0,'05Движение'!D140*'02Тариф'!$B$3,0)</f>
        <v>0</v>
      </c>
      <c r="D149" s="37">
        <f>IF('05Движение'!E140&gt;0,'05Движение'!E140*('02Тариф'!$B$4+'02Тариф'!$B$5+'02Тариф'!$B$6),0)</f>
        <v>80</v>
      </c>
      <c r="E149" s="38">
        <f t="shared" ref="E149:E154" si="21">SUM(C149:D149)</f>
        <v>80</v>
      </c>
    </row>
    <row r="150" spans="1:5" x14ac:dyDescent="0.3">
      <c r="A150" s="39">
        <f t="shared" si="20"/>
        <v>46286</v>
      </c>
      <c r="B150" s="40" t="str">
        <f>'05Движение'!B141</f>
        <v>G1800</v>
      </c>
      <c r="C150" s="41">
        <f>IF('05Движение'!D141&gt;0,'05Движение'!D141*'02Тариф'!$D$3,0)</f>
        <v>0</v>
      </c>
      <c r="D150" s="42">
        <f>IF('05Движение'!E141&gt;0,'05Движение'!E141*('02Тариф'!$D$4+'02Тариф'!$D$5+'02Тариф'!$D$6),0)</f>
        <v>525</v>
      </c>
      <c r="E150" s="43">
        <f t="shared" si="21"/>
        <v>525</v>
      </c>
    </row>
    <row r="151" spans="1:5" x14ac:dyDescent="0.3">
      <c r="A151" s="34">
        <f t="shared" si="20"/>
        <v>46286</v>
      </c>
      <c r="B151" s="35" t="str">
        <f>'05Движение'!B142</f>
        <v>G3500</v>
      </c>
      <c r="C151" s="36">
        <f>IF('05Движение'!D142&gt;0,'05Движение'!D142*'02Тариф'!$C$3,0)</f>
        <v>140</v>
      </c>
      <c r="D151" s="37">
        <f>IF('05Движение'!E142&gt;0,'05Движение'!E142*('02Тариф'!$C$4+'02Тариф'!$C$5+'02Тариф'!$C$6),0)</f>
        <v>0</v>
      </c>
      <c r="E151" s="38">
        <f t="shared" si="21"/>
        <v>140</v>
      </c>
    </row>
    <row r="152" spans="1:5" x14ac:dyDescent="0.3">
      <c r="A152" s="39">
        <f t="shared" si="20"/>
        <v>46286</v>
      </c>
      <c r="B152" s="40" t="str">
        <f>'05Движение'!B143</f>
        <v>G800</v>
      </c>
      <c r="C152" s="41">
        <f>IF('05Движение'!D143&gt;0,'05Движение'!D143*'02Тариф'!$C$3,0)</f>
        <v>0</v>
      </c>
      <c r="D152" s="42">
        <f>IF('05Движение'!E143&gt;0,'05Движение'!E143*('02Тариф'!$C$4+'02Тариф'!$C$5+'02Тариф'!$C$6),0)</f>
        <v>275</v>
      </c>
      <c r="E152" s="43">
        <f t="shared" si="21"/>
        <v>275</v>
      </c>
    </row>
    <row r="153" spans="1:5" x14ac:dyDescent="0.3">
      <c r="A153" s="34">
        <f t="shared" si="20"/>
        <v>46286</v>
      </c>
      <c r="B153" s="35" t="str">
        <f>'05Движение'!B144</f>
        <v>MiK</v>
      </c>
      <c r="C153" s="36">
        <f>IF('05Движение'!D144&gt;0,'05Движение'!D144*'02Тариф'!$B$3,0)</f>
        <v>200</v>
      </c>
      <c r="D153" s="37">
        <f>IF('05Движение'!E144&gt;0,'05Движение'!E144*('02Тариф'!$B$5+'02Тариф'!$B$6),0)</f>
        <v>60</v>
      </c>
      <c r="E153" s="38">
        <f t="shared" si="21"/>
        <v>260</v>
      </c>
    </row>
    <row r="154" spans="1:5" ht="15" thickBot="1" x14ac:dyDescent="0.35">
      <c r="A154" s="32">
        <f t="shared" si="20"/>
        <v>46286</v>
      </c>
      <c r="B154" s="29" t="str">
        <f>'05Движение'!B145</f>
        <v>MiP</v>
      </c>
      <c r="C154" s="44">
        <f>IF('05Движение'!D145&gt;0,'05Движение'!D145*'02Тариф'!$B$3,0)</f>
        <v>0</v>
      </c>
      <c r="D154" s="45">
        <f>IF('05Движение'!E145&gt;0,'05Движение'!E145*('02Тариф'!$B$5+'02Тариф'!$B$6),0)</f>
        <v>30</v>
      </c>
      <c r="E154" s="46">
        <f t="shared" si="21"/>
        <v>30</v>
      </c>
    </row>
    <row r="155" spans="1:5" ht="15.6" thickTop="1" thickBot="1" x14ac:dyDescent="0.35">
      <c r="A155" s="26" t="str">
        <f>A83</f>
        <v>ПН</v>
      </c>
      <c r="B155" s="24" t="s">
        <v>45</v>
      </c>
      <c r="C155" s="27">
        <f>SUM(C148:C154)</f>
        <v>440</v>
      </c>
      <c r="D155" s="27">
        <f>SUM(D148:D154)</f>
        <v>1010</v>
      </c>
      <c r="E155" s="28">
        <f>SUM(E148:E154)</f>
        <v>1450</v>
      </c>
    </row>
    <row r="156" spans="1:5" ht="15" thickBot="1" x14ac:dyDescent="0.35">
      <c r="A156" s="9"/>
      <c r="B156" s="9"/>
      <c r="C156" s="9"/>
      <c r="D156" s="9"/>
      <c r="E156" s="9"/>
    </row>
    <row r="157" spans="1:5" x14ac:dyDescent="0.3">
      <c r="A157" s="47">
        <f>'05Движение'!A148</f>
        <v>0</v>
      </c>
      <c r="B157" s="48">
        <f>'05Движение'!B148</f>
        <v>0</v>
      </c>
      <c r="C157" s="49">
        <f>IF('05Движение'!D148&gt;0,'05Движение'!D148*'02Тариф'!$B$3,0)</f>
        <v>0</v>
      </c>
      <c r="D157" s="50">
        <f>IF('05Движение'!E148&gt;0,'05Движение'!E148*('02Тариф'!$B$4+'02Тариф'!$B$5+'02Тариф'!$B$6),0)</f>
        <v>0</v>
      </c>
      <c r="E157" s="33">
        <f>C157+D157</f>
        <v>0</v>
      </c>
    </row>
    <row r="158" spans="1:5" x14ac:dyDescent="0.3">
      <c r="A158" s="34">
        <f>'05Движение'!A149</f>
        <v>0</v>
      </c>
      <c r="B158" s="35">
        <f>'05Движение'!B149</f>
        <v>0</v>
      </c>
      <c r="C158" s="36">
        <f>IF('05Движение'!D149&gt;0,'05Движение'!D149*'02Тариф'!$B$3,0)</f>
        <v>0</v>
      </c>
      <c r="D158" s="37">
        <f>IF('05Движение'!E149&gt;0,'05Движение'!E149*('02Тариф'!$B$4+'02Тариф'!$B$5+'02Тариф'!$B$6),0)</f>
        <v>0</v>
      </c>
      <c r="E158" s="38">
        <f t="shared" ref="E158:E163" si="22">SUM(C158:D158)</f>
        <v>0</v>
      </c>
    </row>
    <row r="159" spans="1:5" x14ac:dyDescent="0.3">
      <c r="A159" s="39">
        <f>'05Движение'!A150</f>
        <v>0</v>
      </c>
      <c r="B159" s="40">
        <f>'05Движение'!B150</f>
        <v>0</v>
      </c>
      <c r="C159" s="41">
        <f>IF('05Движение'!D150&gt;0,'05Движение'!D150*'02Тариф'!$D$3,0)</f>
        <v>0</v>
      </c>
      <c r="D159" s="42">
        <f>IF('05Движение'!E150&gt;0,'05Движение'!E150*('02Тариф'!$D$4+'02Тариф'!$D$5+'02Тариф'!$D$6),0)</f>
        <v>0</v>
      </c>
      <c r="E159" s="43">
        <f t="shared" si="22"/>
        <v>0</v>
      </c>
    </row>
    <row r="160" spans="1:5" x14ac:dyDescent="0.3">
      <c r="A160" s="34">
        <f>'05Движение'!A151</f>
        <v>0</v>
      </c>
      <c r="B160" s="35">
        <f>'05Движение'!B151</f>
        <v>0</v>
      </c>
      <c r="C160" s="36">
        <f>IF('05Движение'!D151&gt;0,'05Движение'!D151*'02Тариф'!$C$3,0)</f>
        <v>0</v>
      </c>
      <c r="D160" s="37">
        <f>IF('05Движение'!E151&gt;0,'05Движение'!E151*('02Тариф'!$C$4+'02Тариф'!$C$5+'02Тариф'!$C$6),0)</f>
        <v>0</v>
      </c>
      <c r="E160" s="38">
        <f t="shared" si="22"/>
        <v>0</v>
      </c>
    </row>
    <row r="161" spans="1:5" x14ac:dyDescent="0.3">
      <c r="A161" s="39">
        <f>'05Движение'!A152</f>
        <v>0</v>
      </c>
      <c r="B161" s="40">
        <f>'05Движение'!B152</f>
        <v>0</v>
      </c>
      <c r="C161" s="41">
        <f>IF('05Движение'!D152&gt;0,'05Движение'!D152*'02Тариф'!$C$3,0)</f>
        <v>0</v>
      </c>
      <c r="D161" s="42">
        <f>IF('05Движение'!E152&gt;0,'05Движение'!E152*('02Тариф'!$C$4+'02Тариф'!$C$5+'02Тариф'!$C$6),0)</f>
        <v>0</v>
      </c>
      <c r="E161" s="43">
        <f t="shared" si="22"/>
        <v>0</v>
      </c>
    </row>
    <row r="162" spans="1:5" x14ac:dyDescent="0.3">
      <c r="A162" s="34">
        <f>'05Движение'!A153</f>
        <v>0</v>
      </c>
      <c r="B162" s="35">
        <f>'05Движение'!B153</f>
        <v>0</v>
      </c>
      <c r="C162" s="36">
        <f>IF('05Движение'!D153&gt;0,'05Движение'!D153*'02Тариф'!$B$3,0)</f>
        <v>0</v>
      </c>
      <c r="D162" s="37">
        <f>IF('05Движение'!E153&gt;0,'05Движение'!E153*('02Тариф'!$B$5+'02Тариф'!$B$6),0)</f>
        <v>0</v>
      </c>
      <c r="E162" s="38">
        <f t="shared" si="22"/>
        <v>0</v>
      </c>
    </row>
    <row r="163" spans="1:5" ht="15" thickBot="1" x14ac:dyDescent="0.35">
      <c r="A163" s="32">
        <f>'05Движение'!A154</f>
        <v>0</v>
      </c>
      <c r="B163" s="29">
        <f>'05Движение'!B154</f>
        <v>0</v>
      </c>
      <c r="C163" s="44">
        <f>IF('05Движение'!D154&gt;0,'05Движение'!D154*'02Тариф'!$B$3,0)</f>
        <v>0</v>
      </c>
      <c r="D163" s="45">
        <f>IF('05Движение'!E154&gt;0,'05Движение'!E154*('02Тариф'!$B$5+'02Тариф'!$B$6),0)</f>
        <v>0</v>
      </c>
      <c r="E163" s="46">
        <f t="shared" si="22"/>
        <v>0</v>
      </c>
    </row>
    <row r="164" spans="1:5" ht="15.6" thickTop="1" thickBot="1" x14ac:dyDescent="0.35">
      <c r="A164" s="26" t="str">
        <f>A92</f>
        <v>ВТ</v>
      </c>
      <c r="B164" s="24" t="s">
        <v>43</v>
      </c>
      <c r="C164" s="27">
        <f>SUM(C157:C163)</f>
        <v>0</v>
      </c>
      <c r="D164" s="27">
        <f>SUM(D157:D163)</f>
        <v>0</v>
      </c>
      <c r="E164" s="28">
        <f>SUM(E157:E163)</f>
        <v>0</v>
      </c>
    </row>
    <row r="165" spans="1:5" ht="15" thickBot="1" x14ac:dyDescent="0.35">
      <c r="A165" s="9"/>
      <c r="B165" s="9"/>
      <c r="C165" s="9"/>
      <c r="D165" s="9"/>
      <c r="E165" s="9"/>
    </row>
    <row r="166" spans="1:5" x14ac:dyDescent="0.3">
      <c r="A166" s="47">
        <f>'05Движение'!A157</f>
        <v>0</v>
      </c>
      <c r="B166" s="48">
        <f>'05Движение'!B157</f>
        <v>0</v>
      </c>
      <c r="C166" s="49">
        <f>IF('05Движение'!D157&gt;0,'05Движение'!D157*'02Тариф'!$B$3,0)</f>
        <v>0</v>
      </c>
      <c r="D166" s="50">
        <f>IF('05Движение'!E157&gt;0,'05Движение'!E157*('02Тариф'!$B$4+'02Тариф'!$B$5+'02Тариф'!$B$6),0)</f>
        <v>0</v>
      </c>
      <c r="E166" s="33">
        <f>C166+D166</f>
        <v>0</v>
      </c>
    </row>
    <row r="167" spans="1:5" x14ac:dyDescent="0.3">
      <c r="A167" s="34">
        <f>'05Движение'!A158</f>
        <v>0</v>
      </c>
      <c r="B167" s="35">
        <f>'05Движение'!B158</f>
        <v>0</v>
      </c>
      <c r="C167" s="36">
        <f>IF('05Движение'!D158&gt;0,'05Движение'!D158*'02Тариф'!$B$3,0)</f>
        <v>0</v>
      </c>
      <c r="D167" s="37">
        <f>IF('05Движение'!E158&gt;0,'05Движение'!E158*('02Тариф'!$B$4+'02Тариф'!$B$5+'02Тариф'!$B$6),0)</f>
        <v>0</v>
      </c>
      <c r="E167" s="38">
        <f t="shared" ref="E167:E172" si="23">SUM(C167:D167)</f>
        <v>0</v>
      </c>
    </row>
    <row r="168" spans="1:5" x14ac:dyDescent="0.3">
      <c r="A168" s="39">
        <f>'05Движение'!A159</f>
        <v>0</v>
      </c>
      <c r="B168" s="40">
        <f>'05Движение'!B159</f>
        <v>0</v>
      </c>
      <c r="C168" s="41">
        <f>IF('05Движение'!D159&gt;0,'05Движение'!D159*'02Тариф'!$D$3,0)</f>
        <v>0</v>
      </c>
      <c r="D168" s="42">
        <f>IF('05Движение'!E159&gt;0,'05Движение'!E159*('02Тариф'!$D$4+'02Тариф'!$D$5+'02Тариф'!$D$6),0)</f>
        <v>0</v>
      </c>
      <c r="E168" s="43">
        <f t="shared" si="23"/>
        <v>0</v>
      </c>
    </row>
    <row r="169" spans="1:5" x14ac:dyDescent="0.3">
      <c r="A169" s="34">
        <f>'05Движение'!A160</f>
        <v>0</v>
      </c>
      <c r="B169" s="35">
        <f>'05Движение'!B160</f>
        <v>0</v>
      </c>
      <c r="C169" s="36">
        <f>IF('05Движение'!D160&gt;0,'05Движение'!D160*'02Тариф'!$C$3,0)</f>
        <v>0</v>
      </c>
      <c r="D169" s="37">
        <f>IF('05Движение'!E160&gt;0,'05Движение'!E160*('02Тариф'!$C$4+'02Тариф'!$C$5+'02Тариф'!$C$6),0)</f>
        <v>0</v>
      </c>
      <c r="E169" s="38">
        <f t="shared" si="23"/>
        <v>0</v>
      </c>
    </row>
    <row r="170" spans="1:5" x14ac:dyDescent="0.3">
      <c r="A170" s="39">
        <f>'05Движение'!A161</f>
        <v>0</v>
      </c>
      <c r="B170" s="40">
        <f>'05Движение'!B161</f>
        <v>0</v>
      </c>
      <c r="C170" s="41">
        <f>IF('05Движение'!D161&gt;0,'05Движение'!D161*'02Тариф'!$C$3,0)</f>
        <v>0</v>
      </c>
      <c r="D170" s="42">
        <f>IF('05Движение'!E161&gt;0,'05Движение'!E161*('02Тариф'!$C$4+'02Тариф'!$C$5+'02Тариф'!$C$6),0)</f>
        <v>0</v>
      </c>
      <c r="E170" s="43">
        <f t="shared" si="23"/>
        <v>0</v>
      </c>
    </row>
    <row r="171" spans="1:5" x14ac:dyDescent="0.3">
      <c r="A171" s="34">
        <f>'05Движение'!A162</f>
        <v>0</v>
      </c>
      <c r="B171" s="35">
        <f>'05Движение'!B162</f>
        <v>0</v>
      </c>
      <c r="C171" s="36">
        <f>IF('05Движение'!D162&gt;0,'05Движение'!D162*'02Тариф'!$B$3,0)</f>
        <v>0</v>
      </c>
      <c r="D171" s="37">
        <f>IF('05Движение'!E162&gt;0,'05Движение'!E162*('02Тариф'!$B$5+'02Тариф'!$B$6),0)</f>
        <v>0</v>
      </c>
      <c r="E171" s="38">
        <f t="shared" si="23"/>
        <v>0</v>
      </c>
    </row>
    <row r="172" spans="1:5" ht="15" thickBot="1" x14ac:dyDescent="0.35">
      <c r="A172" s="32">
        <f>'05Движение'!A163</f>
        <v>0</v>
      </c>
      <c r="B172" s="29">
        <f>'05Движение'!B163</f>
        <v>0</v>
      </c>
      <c r="C172" s="44">
        <f>IF('05Движение'!D163&gt;0,'05Движение'!D163*'02Тариф'!$B$3,0)</f>
        <v>0</v>
      </c>
      <c r="D172" s="45">
        <f>IF('05Движение'!E163&gt;0,'05Движение'!E163*('02Тариф'!$B$5+'02Тариф'!$B$6),0)</f>
        <v>0</v>
      </c>
      <c r="E172" s="46">
        <f t="shared" si="23"/>
        <v>0</v>
      </c>
    </row>
    <row r="173" spans="1:5" ht="15.6" thickTop="1" thickBot="1" x14ac:dyDescent="0.35">
      <c r="A173" s="26" t="str">
        <f>A101</f>
        <v>СР</v>
      </c>
      <c r="B173" s="24" t="s">
        <v>43</v>
      </c>
      <c r="C173" s="27">
        <f>SUM(C166:C172)</f>
        <v>0</v>
      </c>
      <c r="D173" s="27">
        <f>SUM(D166:D172)</f>
        <v>0</v>
      </c>
      <c r="E173" s="28">
        <f>SUM(E166:E172)</f>
        <v>0</v>
      </c>
    </row>
    <row r="174" spans="1:5" ht="15" thickBot="1" x14ac:dyDescent="0.35">
      <c r="A174" s="9"/>
      <c r="B174" s="9"/>
      <c r="C174" s="9"/>
      <c r="D174" s="9"/>
      <c r="E174" s="9"/>
    </row>
    <row r="175" spans="1:5" x14ac:dyDescent="0.3">
      <c r="A175" s="47">
        <f>'05Движение'!A166</f>
        <v>0</v>
      </c>
      <c r="B175" s="48">
        <f>'05Движение'!B166</f>
        <v>0</v>
      </c>
      <c r="C175" s="49">
        <f>IF('05Движение'!D166&gt;0,'05Движение'!D166*'02Тариф'!$B$3,0)</f>
        <v>0</v>
      </c>
      <c r="D175" s="50">
        <f>IF('05Движение'!E166&gt;0,'05Движение'!E166*('02Тариф'!$B$4+'02Тариф'!$B$5+'02Тариф'!$B$6),0)</f>
        <v>0</v>
      </c>
      <c r="E175" s="33">
        <f>C175+D175</f>
        <v>0</v>
      </c>
    </row>
    <row r="176" spans="1:5" x14ac:dyDescent="0.3">
      <c r="A176" s="34">
        <f>'05Движение'!A167</f>
        <v>0</v>
      </c>
      <c r="B176" s="35">
        <f>'05Движение'!B167</f>
        <v>0</v>
      </c>
      <c r="C176" s="36">
        <f>IF('05Движение'!D167&gt;0,'05Движение'!D167*'02Тариф'!$B$3,0)</f>
        <v>0</v>
      </c>
      <c r="D176" s="37">
        <f>IF('05Движение'!E167&gt;0,'05Движение'!E167*('02Тариф'!$B$4+'02Тариф'!$B$5+'02Тариф'!$B$6),0)</f>
        <v>0</v>
      </c>
      <c r="E176" s="38">
        <f t="shared" ref="E176:E181" si="24">SUM(C176:D176)</f>
        <v>0</v>
      </c>
    </row>
    <row r="177" spans="1:5" x14ac:dyDescent="0.3">
      <c r="A177" s="39">
        <f>'05Движение'!A168</f>
        <v>0</v>
      </c>
      <c r="B177" s="40">
        <f>'05Движение'!B168</f>
        <v>0</v>
      </c>
      <c r="C177" s="41">
        <f>IF('05Движение'!D168&gt;0,'05Движение'!D168*'02Тариф'!$D$3,0)</f>
        <v>0</v>
      </c>
      <c r="D177" s="42">
        <f>IF('05Движение'!E168&gt;0,'05Движение'!E168*('02Тариф'!$D$4+'02Тариф'!$D$5+'02Тариф'!$D$6),0)</f>
        <v>0</v>
      </c>
      <c r="E177" s="43">
        <f t="shared" si="24"/>
        <v>0</v>
      </c>
    </row>
    <row r="178" spans="1:5" x14ac:dyDescent="0.3">
      <c r="A178" s="34">
        <f>'05Движение'!A169</f>
        <v>0</v>
      </c>
      <c r="B178" s="35">
        <f>'05Движение'!B169</f>
        <v>0</v>
      </c>
      <c r="C178" s="36">
        <f>IF('05Движение'!D169&gt;0,'05Движение'!D169*'02Тариф'!$C$3,0)</f>
        <v>0</v>
      </c>
      <c r="D178" s="37">
        <f>IF('05Движение'!E169&gt;0,'05Движение'!E169*('02Тариф'!$C$4+'02Тариф'!$C$5+'02Тариф'!$C$6),0)</f>
        <v>0</v>
      </c>
      <c r="E178" s="38">
        <f t="shared" si="24"/>
        <v>0</v>
      </c>
    </row>
    <row r="179" spans="1:5" x14ac:dyDescent="0.3">
      <c r="A179" s="39">
        <f>'05Движение'!A170</f>
        <v>0</v>
      </c>
      <c r="B179" s="40">
        <f>'05Движение'!B170</f>
        <v>0</v>
      </c>
      <c r="C179" s="41">
        <f>IF('05Движение'!D170&gt;0,'05Движение'!D170*'02Тариф'!$C$3,0)</f>
        <v>0</v>
      </c>
      <c r="D179" s="42">
        <f>IF('05Движение'!E170&gt;0,'05Движение'!E170*('02Тариф'!$C$4+'02Тариф'!$C$5+'02Тариф'!$C$6),0)</f>
        <v>0</v>
      </c>
      <c r="E179" s="43">
        <f t="shared" si="24"/>
        <v>0</v>
      </c>
    </row>
    <row r="180" spans="1:5" x14ac:dyDescent="0.3">
      <c r="A180" s="34">
        <f>'05Движение'!A171</f>
        <v>0</v>
      </c>
      <c r="B180" s="35">
        <f>'05Движение'!B171</f>
        <v>0</v>
      </c>
      <c r="C180" s="36">
        <f>IF('05Движение'!D171&gt;0,'05Движение'!D171*'02Тариф'!$B$3,0)</f>
        <v>0</v>
      </c>
      <c r="D180" s="37">
        <f>IF('05Движение'!E171&gt;0,'05Движение'!E171*('02Тариф'!$B$5+'02Тариф'!$B$6),0)</f>
        <v>0</v>
      </c>
      <c r="E180" s="38">
        <f t="shared" si="24"/>
        <v>0</v>
      </c>
    </row>
    <row r="181" spans="1:5" ht="15" thickBot="1" x14ac:dyDescent="0.35">
      <c r="A181" s="32">
        <f>'05Движение'!A172</f>
        <v>0</v>
      </c>
      <c r="B181" s="29">
        <f>'05Движение'!B172</f>
        <v>0</v>
      </c>
      <c r="C181" s="44">
        <f>IF('05Движение'!D172&gt;0,'05Движение'!D172*'02Тариф'!$B$3,0)</f>
        <v>0</v>
      </c>
      <c r="D181" s="45">
        <f>IF('05Движение'!E172&gt;0,'05Движение'!E172*('02Тариф'!$B$5+'02Тариф'!$B$6),0)</f>
        <v>0</v>
      </c>
      <c r="E181" s="46">
        <f t="shared" si="24"/>
        <v>0</v>
      </c>
    </row>
    <row r="182" spans="1:5" ht="15.6" thickTop="1" thickBot="1" x14ac:dyDescent="0.35">
      <c r="A182" s="26" t="str">
        <f>A110</f>
        <v>ЧТ</v>
      </c>
      <c r="B182" s="24" t="s">
        <v>43</v>
      </c>
      <c r="C182" s="27">
        <f>SUM(C175:C181)</f>
        <v>0</v>
      </c>
      <c r="D182" s="27">
        <f>SUM(D175:D181)</f>
        <v>0</v>
      </c>
      <c r="E182" s="28">
        <f>SUM(E175:E181)</f>
        <v>0</v>
      </c>
    </row>
    <row r="183" spans="1:5" ht="15" thickBot="1" x14ac:dyDescent="0.35">
      <c r="A183" s="9"/>
      <c r="B183" s="9"/>
      <c r="C183" s="9"/>
      <c r="D183" s="9"/>
      <c r="E183" s="9"/>
    </row>
    <row r="184" spans="1:5" x14ac:dyDescent="0.3">
      <c r="A184" s="47">
        <f>'05Движение'!A175</f>
        <v>0</v>
      </c>
      <c r="B184" s="48">
        <f>'05Движение'!B175</f>
        <v>0</v>
      </c>
      <c r="C184" s="49">
        <f>IF('05Движение'!D175&gt;0,'05Движение'!D175*'02Тариф'!$B$3,0)</f>
        <v>0</v>
      </c>
      <c r="D184" s="50">
        <f>IF('05Движение'!E175&gt;0,'05Движение'!E175*('02Тариф'!$B$4+'02Тариф'!$B$5+'02Тариф'!$B$6),0)</f>
        <v>0</v>
      </c>
      <c r="E184" s="33">
        <f>C184+D184</f>
        <v>0</v>
      </c>
    </row>
    <row r="185" spans="1:5" x14ac:dyDescent="0.3">
      <c r="A185" s="34">
        <f>'05Движение'!A176</f>
        <v>0</v>
      </c>
      <c r="B185" s="35">
        <f>'05Движение'!B176</f>
        <v>0</v>
      </c>
      <c r="C185" s="36">
        <f>IF('05Движение'!D176&gt;0,'05Движение'!D176*'02Тариф'!$B$3,0)</f>
        <v>0</v>
      </c>
      <c r="D185" s="37">
        <f>IF('05Движение'!E176&gt;0,'05Движение'!E176*('02Тариф'!$B$4+'02Тариф'!$B$5+'02Тариф'!$B$6),0)</f>
        <v>0</v>
      </c>
      <c r="E185" s="38">
        <f t="shared" ref="E185:E190" si="25">SUM(C185:D185)</f>
        <v>0</v>
      </c>
    </row>
    <row r="186" spans="1:5" x14ac:dyDescent="0.3">
      <c r="A186" s="39">
        <f>'05Движение'!A177</f>
        <v>0</v>
      </c>
      <c r="B186" s="40">
        <f>'05Движение'!B177</f>
        <v>0</v>
      </c>
      <c r="C186" s="41">
        <f>IF('05Движение'!D177&gt;0,'05Движение'!D177*'02Тариф'!$D$3,0)</f>
        <v>0</v>
      </c>
      <c r="D186" s="42">
        <f>IF('05Движение'!E177&gt;0,'05Движение'!E177*('02Тариф'!$D$4+'02Тариф'!$D$5+'02Тариф'!$D$6),0)</f>
        <v>0</v>
      </c>
      <c r="E186" s="43">
        <f t="shared" si="25"/>
        <v>0</v>
      </c>
    </row>
    <row r="187" spans="1:5" x14ac:dyDescent="0.3">
      <c r="A187" s="34">
        <f>'05Движение'!A178</f>
        <v>0</v>
      </c>
      <c r="B187" s="35">
        <f>'05Движение'!B178</f>
        <v>0</v>
      </c>
      <c r="C187" s="36">
        <f>IF('05Движение'!D178&gt;0,'05Движение'!D178*'02Тариф'!$C$3,0)</f>
        <v>0</v>
      </c>
      <c r="D187" s="37">
        <f>IF('05Движение'!E178&gt;0,'05Движение'!E178*('02Тариф'!$C$4+'02Тариф'!$C$5+'02Тариф'!$C$6),0)</f>
        <v>0</v>
      </c>
      <c r="E187" s="38">
        <f t="shared" si="25"/>
        <v>0</v>
      </c>
    </row>
    <row r="188" spans="1:5" x14ac:dyDescent="0.3">
      <c r="A188" s="39">
        <f>'05Движение'!A179</f>
        <v>0</v>
      </c>
      <c r="B188" s="40">
        <f>'05Движение'!B179</f>
        <v>0</v>
      </c>
      <c r="C188" s="41">
        <f>IF('05Движение'!D179&gt;0,'05Движение'!D179*'02Тариф'!$C$3,0)</f>
        <v>0</v>
      </c>
      <c r="D188" s="42">
        <f>IF('05Движение'!E179&gt;0,'05Движение'!E179*('02Тариф'!$C$4+'02Тариф'!$C$5+'02Тариф'!$C$6),0)</f>
        <v>0</v>
      </c>
      <c r="E188" s="43">
        <f t="shared" si="25"/>
        <v>0</v>
      </c>
    </row>
    <row r="189" spans="1:5" x14ac:dyDescent="0.3">
      <c r="A189" s="34">
        <f>'05Движение'!A180</f>
        <v>0</v>
      </c>
      <c r="B189" s="35">
        <f>'05Движение'!B180</f>
        <v>0</v>
      </c>
      <c r="C189" s="36">
        <f>IF('05Движение'!D180&gt;0,'05Движение'!D180*'02Тариф'!$B$3,0)</f>
        <v>0</v>
      </c>
      <c r="D189" s="37">
        <f>IF('05Движение'!E180&gt;0,'05Движение'!E180*('02Тариф'!$B$5+'02Тариф'!$B$6),0)</f>
        <v>0</v>
      </c>
      <c r="E189" s="38">
        <f t="shared" si="25"/>
        <v>0</v>
      </c>
    </row>
    <row r="190" spans="1:5" ht="15" thickBot="1" x14ac:dyDescent="0.35">
      <c r="A190" s="32">
        <f>'05Движение'!A181</f>
        <v>0</v>
      </c>
      <c r="B190" s="29">
        <f>'05Движение'!B181</f>
        <v>0</v>
      </c>
      <c r="C190" s="44">
        <f>IF('05Движение'!D181&gt;0,'05Движение'!D181*'02Тариф'!$B$3,0)</f>
        <v>0</v>
      </c>
      <c r="D190" s="45">
        <f>IF('05Движение'!E181&gt;0,'05Движение'!E181*('02Тариф'!$B$5+'02Тариф'!$B$6),0)</f>
        <v>0</v>
      </c>
      <c r="E190" s="46">
        <f t="shared" si="25"/>
        <v>0</v>
      </c>
    </row>
    <row r="191" spans="1:5" ht="15.6" thickTop="1" thickBot="1" x14ac:dyDescent="0.35">
      <c r="A191" s="26" t="str">
        <f>A119</f>
        <v>ПТ</v>
      </c>
      <c r="B191" s="24" t="s">
        <v>45</v>
      </c>
      <c r="C191" s="27">
        <f>SUM(C184:C190)</f>
        <v>0</v>
      </c>
      <c r="D191" s="27">
        <f>SUM(D184:D190)</f>
        <v>0</v>
      </c>
      <c r="E191" s="28">
        <f>SUM(E184:E190)</f>
        <v>0</v>
      </c>
    </row>
    <row r="192" spans="1:5" ht="15" thickBot="1" x14ac:dyDescent="0.35">
      <c r="A192" s="9"/>
      <c r="B192" s="9"/>
      <c r="C192" s="9"/>
      <c r="D192" s="9"/>
      <c r="E192" s="9"/>
    </row>
    <row r="193" spans="1:5" x14ac:dyDescent="0.3">
      <c r="A193" s="47">
        <f>'05Движение'!A184</f>
        <v>0</v>
      </c>
      <c r="B193" s="48">
        <f>'05Движение'!B184</f>
        <v>0</v>
      </c>
      <c r="C193" s="49">
        <f>IF('05Движение'!D184&gt;0,'05Движение'!D184*'02Тариф'!$B$3,0)</f>
        <v>0</v>
      </c>
      <c r="D193" s="50">
        <f>IF('05Движение'!E184&gt;0,'05Движение'!E184*('02Тариф'!$B$4+'02Тариф'!$B$5+'02Тариф'!$B$6),0)</f>
        <v>0</v>
      </c>
      <c r="E193" s="33">
        <f>C193+D193</f>
        <v>0</v>
      </c>
    </row>
    <row r="194" spans="1:5" x14ac:dyDescent="0.3">
      <c r="A194" s="34">
        <f>'05Движение'!A185</f>
        <v>0</v>
      </c>
      <c r="B194" s="35">
        <f>'05Движение'!B185</f>
        <v>0</v>
      </c>
      <c r="C194" s="36">
        <f>IF('05Движение'!D185&gt;0,'05Движение'!D185*'02Тариф'!$B$3,0)</f>
        <v>0</v>
      </c>
      <c r="D194" s="37">
        <f>IF('05Движение'!E185&gt;0,'05Движение'!E185*('02Тариф'!$B$4+'02Тариф'!$B$5+'02Тариф'!$B$6),0)</f>
        <v>0</v>
      </c>
      <c r="E194" s="38">
        <f t="shared" ref="E194:E199" si="26">SUM(C194:D194)</f>
        <v>0</v>
      </c>
    </row>
    <row r="195" spans="1:5" x14ac:dyDescent="0.3">
      <c r="A195" s="39">
        <f>'05Движение'!A186</f>
        <v>0</v>
      </c>
      <c r="B195" s="40">
        <f>'05Движение'!B186</f>
        <v>0</v>
      </c>
      <c r="C195" s="41">
        <f>IF('05Движение'!D186&gt;0,'05Движение'!D186*'02Тариф'!$D$3,0)</f>
        <v>0</v>
      </c>
      <c r="D195" s="42">
        <f>IF('05Движение'!E186&gt;0,'05Движение'!E186*('02Тариф'!$D$4+'02Тариф'!$D$5+'02Тариф'!$D$6),0)</f>
        <v>0</v>
      </c>
      <c r="E195" s="43">
        <f t="shared" si="26"/>
        <v>0</v>
      </c>
    </row>
    <row r="196" spans="1:5" x14ac:dyDescent="0.3">
      <c r="A196" s="34">
        <f>'05Движение'!A187</f>
        <v>0</v>
      </c>
      <c r="B196" s="35">
        <f>'05Движение'!B187</f>
        <v>0</v>
      </c>
      <c r="C196" s="36">
        <f>IF('05Движение'!D187&gt;0,'05Движение'!D187*'02Тариф'!$C$3,0)</f>
        <v>0</v>
      </c>
      <c r="D196" s="37">
        <f>IF('05Движение'!E187&gt;0,'05Движение'!E187*('02Тариф'!$C$4+'02Тариф'!$C$5+'02Тариф'!$C$6),0)</f>
        <v>0</v>
      </c>
      <c r="E196" s="38">
        <f t="shared" si="26"/>
        <v>0</v>
      </c>
    </row>
    <row r="197" spans="1:5" x14ac:dyDescent="0.3">
      <c r="A197" s="39">
        <f>'05Движение'!A188</f>
        <v>0</v>
      </c>
      <c r="B197" s="40">
        <f>'05Движение'!B188</f>
        <v>0</v>
      </c>
      <c r="C197" s="41">
        <f>IF('05Движение'!D188&gt;0,'05Движение'!D188*'02Тариф'!$C$3,0)</f>
        <v>0</v>
      </c>
      <c r="D197" s="42">
        <f>IF('05Движение'!E188&gt;0,'05Движение'!E188*('02Тариф'!$C$4+'02Тариф'!$C$5+'02Тариф'!$C$6),0)</f>
        <v>0</v>
      </c>
      <c r="E197" s="43">
        <f t="shared" si="26"/>
        <v>0</v>
      </c>
    </row>
    <row r="198" spans="1:5" x14ac:dyDescent="0.3">
      <c r="A198" s="34">
        <f>'05Движение'!A189</f>
        <v>0</v>
      </c>
      <c r="B198" s="35">
        <f>'05Движение'!B189</f>
        <v>0</v>
      </c>
      <c r="C198" s="36">
        <f>IF('05Движение'!D189&gt;0,'05Движение'!D189*'02Тариф'!$B$3,0)</f>
        <v>0</v>
      </c>
      <c r="D198" s="37">
        <f>IF('05Движение'!E189&gt;0,'05Движение'!E189*('02Тариф'!$B$5+'02Тариф'!$B$6),0)</f>
        <v>0</v>
      </c>
      <c r="E198" s="38">
        <f t="shared" si="26"/>
        <v>0</v>
      </c>
    </row>
    <row r="199" spans="1:5" ht="15" thickBot="1" x14ac:dyDescent="0.35">
      <c r="A199" s="32">
        <f>'05Движение'!A190</f>
        <v>0</v>
      </c>
      <c r="B199" s="29">
        <f>'05Движение'!B190</f>
        <v>0</v>
      </c>
      <c r="C199" s="44">
        <f>IF('05Движение'!D190&gt;0,'05Движение'!D190*'02Тариф'!$B$3,0)</f>
        <v>0</v>
      </c>
      <c r="D199" s="45">
        <f>IF('05Движение'!E190&gt;0,'05Движение'!E190*('02Тариф'!$B$5+'02Тариф'!$B$6),0)</f>
        <v>0</v>
      </c>
      <c r="E199" s="46">
        <f t="shared" si="26"/>
        <v>0</v>
      </c>
    </row>
    <row r="200" spans="1:5" ht="15.6" thickTop="1" thickBot="1" x14ac:dyDescent="0.35">
      <c r="A200" s="26" t="str">
        <f>A128</f>
        <v>СБ</v>
      </c>
      <c r="B200" s="24" t="s">
        <v>43</v>
      </c>
      <c r="C200" s="27">
        <f>SUM(C193:C199)</f>
        <v>0</v>
      </c>
      <c r="D200" s="27">
        <f>SUM(D193:D199)</f>
        <v>0</v>
      </c>
      <c r="E200" s="28">
        <f>SUM(E193:E199)</f>
        <v>0</v>
      </c>
    </row>
    <row r="201" spans="1:5" ht="15" thickBot="1" x14ac:dyDescent="0.35">
      <c r="A201" s="9"/>
      <c r="B201" s="9"/>
      <c r="C201" s="9"/>
      <c r="D201" s="9"/>
      <c r="E201" s="9"/>
    </row>
    <row r="202" spans="1:5" x14ac:dyDescent="0.3">
      <c r="A202" s="47">
        <f>'05Движение'!A193</f>
        <v>0</v>
      </c>
      <c r="B202" s="48">
        <f>'05Движение'!B193</f>
        <v>0</v>
      </c>
      <c r="C202" s="49">
        <f>IF('05Движение'!D193&gt;0,'05Движение'!D193*'02Тариф'!$B$3,0)</f>
        <v>0</v>
      </c>
      <c r="D202" s="50">
        <f>IF('05Движение'!E193&gt;0,'05Движение'!E193*('02Тариф'!$B$4+'02Тариф'!$B$5+'02Тариф'!$B$6),0)</f>
        <v>0</v>
      </c>
      <c r="E202" s="33">
        <f>C202+D202</f>
        <v>0</v>
      </c>
    </row>
    <row r="203" spans="1:5" x14ac:dyDescent="0.3">
      <c r="A203" s="34">
        <f>'05Движение'!A194</f>
        <v>0</v>
      </c>
      <c r="B203" s="35">
        <f>'05Движение'!B194</f>
        <v>0</v>
      </c>
      <c r="C203" s="36">
        <f>IF('05Движение'!D194&gt;0,'05Движение'!D194*'02Тариф'!$B$3,0)</f>
        <v>0</v>
      </c>
      <c r="D203" s="37">
        <f>IF('05Движение'!E194&gt;0,'05Движение'!E194*('02Тариф'!$B$4+'02Тариф'!$B$5+'02Тариф'!$B$6),0)</f>
        <v>0</v>
      </c>
      <c r="E203" s="38">
        <f t="shared" ref="E203:E208" si="27">SUM(C203:D203)</f>
        <v>0</v>
      </c>
    </row>
    <row r="204" spans="1:5" x14ac:dyDescent="0.3">
      <c r="A204" s="39">
        <f>'05Движение'!A195</f>
        <v>0</v>
      </c>
      <c r="B204" s="40">
        <f>'05Движение'!B195</f>
        <v>0</v>
      </c>
      <c r="C204" s="41">
        <f>IF('05Движение'!D195&gt;0,'05Движение'!D195*'02Тариф'!$D$3,0)</f>
        <v>0</v>
      </c>
      <c r="D204" s="42">
        <f>IF('05Движение'!E195&gt;0,'05Движение'!E195*('02Тариф'!$D$4+'02Тариф'!$D$5+'02Тариф'!$D$6),0)</f>
        <v>0</v>
      </c>
      <c r="E204" s="43">
        <f t="shared" si="27"/>
        <v>0</v>
      </c>
    </row>
    <row r="205" spans="1:5" x14ac:dyDescent="0.3">
      <c r="A205" s="34">
        <f>'05Движение'!A196</f>
        <v>0</v>
      </c>
      <c r="B205" s="35">
        <f>'05Движение'!B196</f>
        <v>0</v>
      </c>
      <c r="C205" s="36">
        <f>IF('05Движение'!D196&gt;0,'05Движение'!D196*'02Тариф'!$C$3,0)</f>
        <v>0</v>
      </c>
      <c r="D205" s="37">
        <f>IF('05Движение'!E196&gt;0,'05Движение'!E196*('02Тариф'!$C$4+'02Тариф'!$C$5+'02Тариф'!$C$6),0)</f>
        <v>0</v>
      </c>
      <c r="E205" s="38">
        <f t="shared" si="27"/>
        <v>0</v>
      </c>
    </row>
    <row r="206" spans="1:5" x14ac:dyDescent="0.3">
      <c r="A206" s="39">
        <f>'05Движение'!A197</f>
        <v>0</v>
      </c>
      <c r="B206" s="40">
        <f>'05Движение'!B197</f>
        <v>0</v>
      </c>
      <c r="C206" s="41">
        <f>IF('05Движение'!D197&gt;0,'05Движение'!D197*'02Тариф'!$C$3,0)</f>
        <v>0</v>
      </c>
      <c r="D206" s="42">
        <f>IF('05Движение'!E197&gt;0,'05Движение'!E197*('02Тариф'!$C$4+'02Тариф'!$C$5+'02Тариф'!$C$6),0)</f>
        <v>0</v>
      </c>
      <c r="E206" s="43">
        <f t="shared" si="27"/>
        <v>0</v>
      </c>
    </row>
    <row r="207" spans="1:5" x14ac:dyDescent="0.3">
      <c r="A207" s="34">
        <f>'05Движение'!A198</f>
        <v>0</v>
      </c>
      <c r="B207" s="35">
        <f>'05Движение'!B198</f>
        <v>0</v>
      </c>
      <c r="C207" s="36">
        <f>IF('05Движение'!D198&gt;0,'05Движение'!D198*'02Тариф'!$B$3,0)</f>
        <v>0</v>
      </c>
      <c r="D207" s="37">
        <f>IF('05Движение'!E198&gt;0,'05Движение'!E198*('02Тариф'!$B$5+'02Тариф'!$B$6),0)</f>
        <v>0</v>
      </c>
      <c r="E207" s="38">
        <f t="shared" si="27"/>
        <v>0</v>
      </c>
    </row>
    <row r="208" spans="1:5" ht="15" thickBot="1" x14ac:dyDescent="0.35">
      <c r="A208" s="32">
        <f>'05Движение'!A199</f>
        <v>0</v>
      </c>
      <c r="B208" s="29">
        <f>'05Движение'!B199</f>
        <v>0</v>
      </c>
      <c r="C208" s="44">
        <f>IF('05Движение'!D199&gt;0,'05Движение'!D199*'02Тариф'!$B$3,0)</f>
        <v>0</v>
      </c>
      <c r="D208" s="45">
        <f>IF('05Движение'!E199&gt;0,'05Движение'!E199*('02Тариф'!$B$5+'02Тариф'!$B$6),0)</f>
        <v>0</v>
      </c>
      <c r="E208" s="46">
        <f t="shared" si="27"/>
        <v>0</v>
      </c>
    </row>
    <row r="209" spans="1:5" ht="15.6" thickTop="1" thickBot="1" x14ac:dyDescent="0.35">
      <c r="A209" s="26" t="str">
        <f>A137</f>
        <v>ВС</v>
      </c>
      <c r="B209" s="24" t="s">
        <v>43</v>
      </c>
      <c r="C209" s="27">
        <f>SUM(C202:C208)</f>
        <v>0</v>
      </c>
      <c r="D209" s="27">
        <f>SUM(D202:D208)</f>
        <v>0</v>
      </c>
      <c r="E209" s="28">
        <f>SUM(E202:E208)</f>
        <v>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8">
    <pageSetUpPr fitToPage="1"/>
  </sheetPr>
  <dimension ref="A1:E74"/>
  <sheetViews>
    <sheetView zoomScale="115" zoomScaleNormal="115" workbookViewId="0">
      <pane ySplit="3" topLeftCell="A46" activePane="bottomLeft" state="frozen"/>
      <selection pane="bottomLeft" activeCell="A3" sqref="A3:E74"/>
    </sheetView>
  </sheetViews>
  <sheetFormatPr defaultRowHeight="14.4" x14ac:dyDescent="0.3"/>
  <cols>
    <col min="1" max="5" width="15.77734375" customWidth="1"/>
  </cols>
  <sheetData>
    <row r="1" spans="1:5" ht="17.399999999999999" x14ac:dyDescent="0.3">
      <c r="A1" s="93" t="s">
        <v>51</v>
      </c>
      <c r="B1" s="94"/>
      <c r="C1" s="94"/>
      <c r="D1" s="94"/>
      <c r="E1" s="94"/>
    </row>
    <row r="2" spans="1:5" x14ac:dyDescent="0.3">
      <c r="A2" s="6" t="s">
        <v>52</v>
      </c>
    </row>
    <row r="3" spans="1:5" ht="15" thickBot="1" x14ac:dyDescent="0.35">
      <c r="A3" s="12" t="s">
        <v>46</v>
      </c>
      <c r="B3" s="12" t="s">
        <v>65</v>
      </c>
      <c r="C3" s="12" t="s">
        <v>56</v>
      </c>
      <c r="D3" s="12" t="s">
        <v>66</v>
      </c>
      <c r="E3" s="12" t="s">
        <v>53</v>
      </c>
    </row>
    <row r="4" spans="1:5" s="53" customFormat="1" x14ac:dyDescent="0.3">
      <c r="A4" s="59">
        <f>'06НачисленияДни'!A4</f>
        <v>46272</v>
      </c>
      <c r="B4" s="60" t="str">
        <f>'06НачисленияДни'!B4</f>
        <v>Ak10</v>
      </c>
      <c r="C4" s="61">
        <f>'06НачисленияДни'!C4</f>
        <v>0</v>
      </c>
      <c r="D4" s="61">
        <f>'06НачисленияДни'!D4</f>
        <v>0</v>
      </c>
      <c r="E4" s="62">
        <f>C4+D4</f>
        <v>0</v>
      </c>
    </row>
    <row r="5" spans="1:5" s="53" customFormat="1" x14ac:dyDescent="0.3">
      <c r="A5" s="63">
        <f>'06НачисленияДни'!A13</f>
        <v>46273</v>
      </c>
      <c r="B5" s="54" t="str">
        <f>'06НачисленияДни'!B13</f>
        <v>Ak10</v>
      </c>
      <c r="C5" s="55">
        <f>'06НачисленияДни'!C13</f>
        <v>0</v>
      </c>
      <c r="D5" s="55">
        <f>'06НачисленияДни'!D13</f>
        <v>40</v>
      </c>
      <c r="E5" s="64">
        <f>C5+D5</f>
        <v>40</v>
      </c>
    </row>
    <row r="6" spans="1:5" s="53" customFormat="1" x14ac:dyDescent="0.3">
      <c r="A6" s="65">
        <f>'06НачисленияДни'!A22</f>
        <v>46274</v>
      </c>
      <c r="B6" s="10" t="str">
        <f>'06НачисленияДни'!B22</f>
        <v>Ak10</v>
      </c>
      <c r="C6" s="52">
        <f>'06НачисленияДни'!C22</f>
        <v>0</v>
      </c>
      <c r="D6" s="52">
        <f>'06НачисленияДни'!D22</f>
        <v>0</v>
      </c>
      <c r="E6" s="66">
        <f>SUM(C6:D6)</f>
        <v>0</v>
      </c>
    </row>
    <row r="7" spans="1:5" s="53" customFormat="1" x14ac:dyDescent="0.3">
      <c r="A7" s="63">
        <f>'06НачисленияДни'!A31</f>
        <v>46275</v>
      </c>
      <c r="B7" s="54" t="str">
        <f>'06НачисленияДни'!B31</f>
        <v>Ak10</v>
      </c>
      <c r="C7" s="55">
        <f>'06НачисленияДни'!C31</f>
        <v>0</v>
      </c>
      <c r="D7" s="55">
        <f>'06НачисленияДни'!D31</f>
        <v>0</v>
      </c>
      <c r="E7" s="64">
        <f>C7+D7</f>
        <v>0</v>
      </c>
    </row>
    <row r="8" spans="1:5" s="53" customFormat="1" x14ac:dyDescent="0.3">
      <c r="A8" s="65">
        <f>'06НачисленияДни'!A40</f>
        <v>46276</v>
      </c>
      <c r="B8" s="51" t="str">
        <f>'06НачисленияДни'!B40</f>
        <v>Ak10</v>
      </c>
      <c r="C8" s="52">
        <f>'06НачисленияДни'!C40</f>
        <v>0</v>
      </c>
      <c r="D8" s="52">
        <f>'06НачисленияДни'!D40</f>
        <v>200</v>
      </c>
      <c r="E8" s="66">
        <f>SUM(C8:D8)</f>
        <v>200</v>
      </c>
    </row>
    <row r="9" spans="1:5" s="53" customFormat="1" x14ac:dyDescent="0.3">
      <c r="A9" s="63">
        <f>'06НачисленияДни'!A49</f>
        <v>46277</v>
      </c>
      <c r="B9" s="54" t="str">
        <f>'06НачисленияДни'!B49</f>
        <v>Ak10</v>
      </c>
      <c r="C9" s="55">
        <f>'06НачисленияДни'!C49</f>
        <v>0</v>
      </c>
      <c r="D9" s="55">
        <f>'06НачисленияДни'!D49</f>
        <v>40</v>
      </c>
      <c r="E9" s="64">
        <f>C9+D9</f>
        <v>40</v>
      </c>
    </row>
    <row r="10" spans="1:5" s="53" customFormat="1" ht="15" thickBot="1" x14ac:dyDescent="0.35">
      <c r="A10" s="76">
        <f>'06НачисленияДни'!A58</f>
        <v>46278</v>
      </c>
      <c r="B10" s="77" t="str">
        <f>'06НачисленияДни'!B58</f>
        <v>Ak10</v>
      </c>
      <c r="C10" s="78">
        <f>'06НачисленияДни'!C58</f>
        <v>0</v>
      </c>
      <c r="D10" s="78">
        <f>'06НачисленияДни'!D58</f>
        <v>160</v>
      </c>
      <c r="E10" s="79">
        <f>SUM(C10:D10)</f>
        <v>160</v>
      </c>
    </row>
    <row r="11" spans="1:5" s="53" customFormat="1" ht="15.6" thickTop="1" thickBot="1" x14ac:dyDescent="0.35">
      <c r="A11" s="72"/>
      <c r="B11" s="73" t="s">
        <v>54</v>
      </c>
      <c r="C11" s="74">
        <f>SUM(C4:C10)</f>
        <v>0</v>
      </c>
      <c r="D11" s="74">
        <f>SUM(D4:D10)</f>
        <v>440</v>
      </c>
      <c r="E11" s="75">
        <f>SUM(E4:E10)</f>
        <v>440</v>
      </c>
    </row>
    <row r="12" spans="1:5" s="53" customFormat="1" ht="15" thickBot="1" x14ac:dyDescent="0.35">
      <c r="A12" s="56"/>
      <c r="B12" s="57"/>
      <c r="C12" s="58"/>
      <c r="D12" s="58"/>
      <c r="E12" s="58"/>
    </row>
    <row r="13" spans="1:5" s="53" customFormat="1" x14ac:dyDescent="0.3">
      <c r="A13" s="59">
        <f>'06НачисленияДни'!A5</f>
        <v>46272</v>
      </c>
      <c r="B13" s="60" t="str">
        <f>'06НачисленияДни'!B5</f>
        <v>Ak15</v>
      </c>
      <c r="C13" s="61">
        <f>'06НачисленияДни'!C5</f>
        <v>0</v>
      </c>
      <c r="D13" s="61">
        <f>'06НачисленияДни'!D5</f>
        <v>0</v>
      </c>
      <c r="E13" s="62">
        <f>C13+D13</f>
        <v>0</v>
      </c>
    </row>
    <row r="14" spans="1:5" s="53" customFormat="1" x14ac:dyDescent="0.3">
      <c r="A14" s="63">
        <f>'06НачисленияДни'!A14</f>
        <v>46273</v>
      </c>
      <c r="B14" s="54" t="str">
        <f>'06НачисленияДни'!B14</f>
        <v>Ak15</v>
      </c>
      <c r="C14" s="55">
        <f>'06НачисленияДни'!C14</f>
        <v>0</v>
      </c>
      <c r="D14" s="55">
        <f>'06НачисленияДни'!D14</f>
        <v>40</v>
      </c>
      <c r="E14" s="64">
        <f>C14+D14</f>
        <v>40</v>
      </c>
    </row>
    <row r="15" spans="1:5" s="53" customFormat="1" x14ac:dyDescent="0.3">
      <c r="A15" s="65">
        <f>A6</f>
        <v>46274</v>
      </c>
      <c r="B15" s="10" t="str">
        <f>'06НачисленияДни'!B31</f>
        <v>Ak10</v>
      </c>
      <c r="C15" s="52">
        <f>'06НачисленияДни'!C23</f>
        <v>0</v>
      </c>
      <c r="D15" s="52">
        <f>'06НачисленияДни'!D23</f>
        <v>40</v>
      </c>
      <c r="E15" s="66">
        <f>SUM(C15:D15)</f>
        <v>40</v>
      </c>
    </row>
    <row r="16" spans="1:5" s="53" customFormat="1" x14ac:dyDescent="0.3">
      <c r="A16" s="63">
        <f>A7</f>
        <v>46275</v>
      </c>
      <c r="B16" s="54" t="str">
        <f>'06НачисленияДни'!B40</f>
        <v>Ak10</v>
      </c>
      <c r="C16" s="55">
        <f>'06НачисленияДни'!C32</f>
        <v>100</v>
      </c>
      <c r="D16" s="55">
        <f>'06НачисленияДни'!D32</f>
        <v>0</v>
      </c>
      <c r="E16" s="64">
        <f>C16+D16</f>
        <v>100</v>
      </c>
    </row>
    <row r="17" spans="1:5" s="53" customFormat="1" x14ac:dyDescent="0.3">
      <c r="A17" s="65">
        <f>A8</f>
        <v>46276</v>
      </c>
      <c r="B17" s="51" t="str">
        <f>'06НачисленияДни'!B49</f>
        <v>Ak10</v>
      </c>
      <c r="C17" s="52">
        <f>'06НачисленияДни'!C41</f>
        <v>0</v>
      </c>
      <c r="D17" s="52">
        <f>'06НачисленияДни'!D41</f>
        <v>80</v>
      </c>
      <c r="E17" s="66">
        <f>SUM(C17:D17)</f>
        <v>80</v>
      </c>
    </row>
    <row r="18" spans="1:5" s="53" customFormat="1" x14ac:dyDescent="0.3">
      <c r="A18" s="63">
        <f>A9</f>
        <v>46277</v>
      </c>
      <c r="B18" s="54" t="str">
        <f>'06НачисленияДни'!B58</f>
        <v>Ak10</v>
      </c>
      <c r="C18" s="55">
        <f>'06НачисленияДни'!C50</f>
        <v>0</v>
      </c>
      <c r="D18" s="55">
        <f>'06НачисленияДни'!D50</f>
        <v>80</v>
      </c>
      <c r="E18" s="64">
        <f>C18+D18</f>
        <v>80</v>
      </c>
    </row>
    <row r="19" spans="1:5" s="53" customFormat="1" ht="15" thickBot="1" x14ac:dyDescent="0.35">
      <c r="A19" s="76">
        <f>A10</f>
        <v>46278</v>
      </c>
      <c r="B19" s="77" t="str">
        <f>'06НачисленияДни'!B76</f>
        <v>Ak10</v>
      </c>
      <c r="C19" s="78">
        <f>'06НачисленияДни'!C59</f>
        <v>0</v>
      </c>
      <c r="D19" s="78">
        <f>'06НачисленияДни'!D59</f>
        <v>80</v>
      </c>
      <c r="E19" s="79">
        <f>SUM(C19:D19)</f>
        <v>80</v>
      </c>
    </row>
    <row r="20" spans="1:5" s="53" customFormat="1" ht="15.6" thickTop="1" thickBot="1" x14ac:dyDescent="0.35">
      <c r="A20" s="72"/>
      <c r="B20" s="73" t="s">
        <v>54</v>
      </c>
      <c r="C20" s="74">
        <f>SUM(C13:C19)</f>
        <v>100</v>
      </c>
      <c r="D20" s="74">
        <f>SUM(D13:D19)</f>
        <v>320</v>
      </c>
      <c r="E20" s="75">
        <f>SUM(E13:E19)</f>
        <v>420</v>
      </c>
    </row>
    <row r="21" spans="1:5" s="53" customFormat="1" ht="15" thickBot="1" x14ac:dyDescent="0.35">
      <c r="A21" s="56"/>
      <c r="B21" s="57"/>
      <c r="C21" s="58"/>
      <c r="D21" s="58"/>
      <c r="E21" s="58"/>
    </row>
    <row r="22" spans="1:5" s="53" customFormat="1" x14ac:dyDescent="0.3">
      <c r="A22" s="59">
        <f t="shared" ref="A22:A28" si="0">A13</f>
        <v>46272</v>
      </c>
      <c r="B22" s="60" t="str">
        <f>'06НачисленияДни'!B6</f>
        <v>G1800</v>
      </c>
      <c r="C22" s="61">
        <f>'06НачисленияДни'!C6</f>
        <v>30</v>
      </c>
      <c r="D22" s="61">
        <f>'06НачисленияДни'!D6</f>
        <v>225</v>
      </c>
      <c r="E22" s="62">
        <f>C22+D22</f>
        <v>255</v>
      </c>
    </row>
    <row r="23" spans="1:5" s="53" customFormat="1" x14ac:dyDescent="0.3">
      <c r="A23" s="63">
        <f t="shared" si="0"/>
        <v>46273</v>
      </c>
      <c r="B23" s="54" t="str">
        <f>B22</f>
        <v>G1800</v>
      </c>
      <c r="C23" s="55">
        <f>'06НачисленияДни'!C15</f>
        <v>0</v>
      </c>
      <c r="D23" s="55">
        <f>'06НачисленияДни'!D15</f>
        <v>825</v>
      </c>
      <c r="E23" s="64">
        <f>C23+D23</f>
        <v>825</v>
      </c>
    </row>
    <row r="24" spans="1:5" s="53" customFormat="1" x14ac:dyDescent="0.3">
      <c r="A24" s="65">
        <f t="shared" si="0"/>
        <v>46274</v>
      </c>
      <c r="B24" s="10" t="str">
        <f>B22</f>
        <v>G1800</v>
      </c>
      <c r="C24" s="52">
        <f>'06НачисленияДни'!C24</f>
        <v>0</v>
      </c>
      <c r="D24" s="52">
        <f>'06НачисленияДни'!D24</f>
        <v>600</v>
      </c>
      <c r="E24" s="66">
        <f>SUM(C24:D24)</f>
        <v>600</v>
      </c>
    </row>
    <row r="25" spans="1:5" s="53" customFormat="1" x14ac:dyDescent="0.3">
      <c r="A25" s="63">
        <f t="shared" si="0"/>
        <v>46275</v>
      </c>
      <c r="B25" s="54" t="str">
        <f>B24</f>
        <v>G1800</v>
      </c>
      <c r="C25" s="55">
        <f>'06НачисленияДни'!C33</f>
        <v>1290</v>
      </c>
      <c r="D25" s="55">
        <f>'06НачисленияДни'!D33</f>
        <v>750</v>
      </c>
      <c r="E25" s="64">
        <f>C25+D25</f>
        <v>2040</v>
      </c>
    </row>
    <row r="26" spans="1:5" s="53" customFormat="1" x14ac:dyDescent="0.3">
      <c r="A26" s="65">
        <f t="shared" si="0"/>
        <v>46276</v>
      </c>
      <c r="B26" s="51" t="str">
        <f>B24</f>
        <v>G1800</v>
      </c>
      <c r="C26" s="52">
        <f>'06НачисленияДни'!C42</f>
        <v>0</v>
      </c>
      <c r="D26" s="52">
        <f>'06НачисленияДни'!D42</f>
        <v>900</v>
      </c>
      <c r="E26" s="66">
        <f>SUM(C26:D26)</f>
        <v>900</v>
      </c>
    </row>
    <row r="27" spans="1:5" s="53" customFormat="1" x14ac:dyDescent="0.3">
      <c r="A27" s="63">
        <f t="shared" si="0"/>
        <v>46277</v>
      </c>
      <c r="B27" s="54" t="str">
        <f>B25</f>
        <v>G1800</v>
      </c>
      <c r="C27" s="55">
        <f>'06НачисленияДни'!C51</f>
        <v>0</v>
      </c>
      <c r="D27" s="55">
        <f>'06НачисленияДни'!D51</f>
        <v>375</v>
      </c>
      <c r="E27" s="64">
        <f>C27+D27</f>
        <v>375</v>
      </c>
    </row>
    <row r="28" spans="1:5" s="53" customFormat="1" ht="15" thickBot="1" x14ac:dyDescent="0.35">
      <c r="A28" s="76">
        <f t="shared" si="0"/>
        <v>46278</v>
      </c>
      <c r="B28" s="77" t="str">
        <f>B22</f>
        <v>G1800</v>
      </c>
      <c r="C28" s="78">
        <f>'06НачисленияДни'!C60</f>
        <v>0</v>
      </c>
      <c r="D28" s="78">
        <f>'06НачисленияДни'!D60</f>
        <v>150</v>
      </c>
      <c r="E28" s="79">
        <f>SUM(C28:D28)</f>
        <v>150</v>
      </c>
    </row>
    <row r="29" spans="1:5" s="53" customFormat="1" ht="15.6" thickTop="1" thickBot="1" x14ac:dyDescent="0.35">
      <c r="A29" s="72"/>
      <c r="B29" s="73" t="s">
        <v>54</v>
      </c>
      <c r="C29" s="74">
        <f>SUM(C22:C28)</f>
        <v>1320</v>
      </c>
      <c r="D29" s="74">
        <f>SUM(D22:D28)</f>
        <v>3825</v>
      </c>
      <c r="E29" s="75">
        <f>SUM(E22:E28)</f>
        <v>5145</v>
      </c>
    </row>
    <row r="30" spans="1:5" s="53" customFormat="1" ht="15" thickBot="1" x14ac:dyDescent="0.35">
      <c r="A30" s="51"/>
      <c r="B30" s="10"/>
      <c r="C30" s="10"/>
      <c r="D30" s="10"/>
      <c r="E30" s="10"/>
    </row>
    <row r="31" spans="1:5" s="53" customFormat="1" x14ac:dyDescent="0.3">
      <c r="A31" s="59">
        <f t="shared" ref="A31:A37" si="1">A22</f>
        <v>46272</v>
      </c>
      <c r="B31" s="60" t="str">
        <f>'06НачисленияДни'!B7</f>
        <v>G3500</v>
      </c>
      <c r="C31" s="61">
        <f>'06НачисленияДни'!C7</f>
        <v>0</v>
      </c>
      <c r="D31" s="61">
        <f>'06НачисленияДни'!D7</f>
        <v>0</v>
      </c>
      <c r="E31" s="62">
        <f>C31+D31</f>
        <v>0</v>
      </c>
    </row>
    <row r="32" spans="1:5" s="53" customFormat="1" x14ac:dyDescent="0.3">
      <c r="A32" s="63">
        <f t="shared" si="1"/>
        <v>46273</v>
      </c>
      <c r="B32" s="54" t="str">
        <f>B31</f>
        <v>G3500</v>
      </c>
      <c r="C32" s="55">
        <f>'06НачисленияДни'!C16</f>
        <v>0</v>
      </c>
      <c r="D32" s="55">
        <f>'06НачисленияДни'!D16</f>
        <v>0</v>
      </c>
      <c r="E32" s="64">
        <f>C32+D32</f>
        <v>0</v>
      </c>
    </row>
    <row r="33" spans="1:5" s="53" customFormat="1" x14ac:dyDescent="0.3">
      <c r="A33" s="65">
        <f t="shared" si="1"/>
        <v>46274</v>
      </c>
      <c r="B33" s="10" t="str">
        <f>B31</f>
        <v>G3500</v>
      </c>
      <c r="C33" s="52">
        <f>'06НачисленияДни'!C25</f>
        <v>0</v>
      </c>
      <c r="D33" s="52">
        <f>'06НачисленияДни'!D25</f>
        <v>0</v>
      </c>
      <c r="E33" s="66">
        <f>SUM(C33:D33)</f>
        <v>0</v>
      </c>
    </row>
    <row r="34" spans="1:5" s="53" customFormat="1" x14ac:dyDescent="0.3">
      <c r="A34" s="63">
        <f t="shared" si="1"/>
        <v>46275</v>
      </c>
      <c r="B34" s="54" t="str">
        <f>B33</f>
        <v>G3500</v>
      </c>
      <c r="C34" s="55">
        <f>'06НачисленияДни'!C34</f>
        <v>20</v>
      </c>
      <c r="D34" s="55">
        <f>'06НачисленияДни'!D34</f>
        <v>0</v>
      </c>
      <c r="E34" s="64">
        <f>C34+D34</f>
        <v>20</v>
      </c>
    </row>
    <row r="35" spans="1:5" s="53" customFormat="1" x14ac:dyDescent="0.3">
      <c r="A35" s="65">
        <f t="shared" si="1"/>
        <v>46276</v>
      </c>
      <c r="B35" s="51" t="str">
        <f>B33</f>
        <v>G3500</v>
      </c>
      <c r="C35" s="52">
        <f>'06НачисленияДни'!C43</f>
        <v>0</v>
      </c>
      <c r="D35" s="52">
        <f>'06НачисленияДни'!D43</f>
        <v>110</v>
      </c>
      <c r="E35" s="66">
        <f>SUM(C35:D35)</f>
        <v>110</v>
      </c>
    </row>
    <row r="36" spans="1:5" x14ac:dyDescent="0.3">
      <c r="A36" s="63">
        <f t="shared" si="1"/>
        <v>46277</v>
      </c>
      <c r="B36" s="54" t="str">
        <f>B34</f>
        <v>G3500</v>
      </c>
      <c r="C36" s="55">
        <f>'06НачисленияДни'!C52</f>
        <v>0</v>
      </c>
      <c r="D36" s="55">
        <f>'06НачисленияДни'!D52</f>
        <v>55</v>
      </c>
      <c r="E36" s="64">
        <f>C36+D36</f>
        <v>55</v>
      </c>
    </row>
    <row r="37" spans="1:5" ht="15" thickBot="1" x14ac:dyDescent="0.35">
      <c r="A37" s="76">
        <f t="shared" si="1"/>
        <v>46278</v>
      </c>
      <c r="B37" s="77" t="str">
        <f>B31</f>
        <v>G3500</v>
      </c>
      <c r="C37" s="78">
        <f>'06НачисленияДни'!C61</f>
        <v>20</v>
      </c>
      <c r="D37" s="78">
        <f>'06НачисленияДни'!D61</f>
        <v>110</v>
      </c>
      <c r="E37" s="79">
        <f>SUM(C37:D37)</f>
        <v>130</v>
      </c>
    </row>
    <row r="38" spans="1:5" ht="15.6" thickTop="1" thickBot="1" x14ac:dyDescent="0.35">
      <c r="A38" s="72"/>
      <c r="B38" s="73" t="s">
        <v>54</v>
      </c>
      <c r="C38" s="74">
        <f>SUM(C31:C37)</f>
        <v>40</v>
      </c>
      <c r="D38" s="74">
        <f>SUM(D31:D37)</f>
        <v>275</v>
      </c>
      <c r="E38" s="75">
        <f>SUM(E31:E37)</f>
        <v>315</v>
      </c>
    </row>
    <row r="39" spans="1:5" ht="15" thickBot="1" x14ac:dyDescent="0.35"/>
    <row r="40" spans="1:5" x14ac:dyDescent="0.3">
      <c r="A40" s="59">
        <f t="shared" ref="A40:A46" si="2">A31</f>
        <v>46272</v>
      </c>
      <c r="B40" s="60" t="s">
        <v>19</v>
      </c>
      <c r="C40" s="61">
        <f>'06НачисленияДни'!C8</f>
        <v>20</v>
      </c>
      <c r="D40" s="61">
        <f>'06НачисленияДни'!D8</f>
        <v>110</v>
      </c>
      <c r="E40" s="62">
        <f>C40+D40</f>
        <v>130</v>
      </c>
    </row>
    <row r="41" spans="1:5" x14ac:dyDescent="0.3">
      <c r="A41" s="63">
        <f t="shared" si="2"/>
        <v>46273</v>
      </c>
      <c r="B41" s="54" t="str">
        <f>B40</f>
        <v>G800</v>
      </c>
      <c r="C41" s="55">
        <f>'06НачисленияДни'!C17</f>
        <v>0</v>
      </c>
      <c r="D41" s="55">
        <f>'06НачисленияДни'!D17</f>
        <v>165</v>
      </c>
      <c r="E41" s="64">
        <f>C41+D41</f>
        <v>165</v>
      </c>
    </row>
    <row r="42" spans="1:5" x14ac:dyDescent="0.3">
      <c r="A42" s="65">
        <f t="shared" si="2"/>
        <v>46274</v>
      </c>
      <c r="B42" s="10" t="str">
        <f>B40</f>
        <v>G800</v>
      </c>
      <c r="C42" s="52">
        <f>'06НачисленияДни'!C26</f>
        <v>0</v>
      </c>
      <c r="D42" s="52">
        <f>'06НачисленияДни'!D26</f>
        <v>275</v>
      </c>
      <c r="E42" s="66">
        <f>SUM(C42:D42)</f>
        <v>275</v>
      </c>
    </row>
    <row r="43" spans="1:5" x14ac:dyDescent="0.3">
      <c r="A43" s="63">
        <f t="shared" si="2"/>
        <v>46275</v>
      </c>
      <c r="B43" s="54" t="str">
        <f>B42</f>
        <v>G800</v>
      </c>
      <c r="C43" s="55">
        <f>'06НачисленияДни'!C35</f>
        <v>0</v>
      </c>
      <c r="D43" s="55">
        <f>'06НачисленияДни'!D35</f>
        <v>440</v>
      </c>
      <c r="E43" s="64">
        <f>C43+D43</f>
        <v>440</v>
      </c>
    </row>
    <row r="44" spans="1:5" x14ac:dyDescent="0.3">
      <c r="A44" s="65">
        <f t="shared" si="2"/>
        <v>46276</v>
      </c>
      <c r="B44" s="51" t="str">
        <f>B42</f>
        <v>G800</v>
      </c>
      <c r="C44" s="52">
        <f>'06НачисленияДни'!C44</f>
        <v>640</v>
      </c>
      <c r="D44" s="52">
        <f>'06НачисленияДни'!D44</f>
        <v>220</v>
      </c>
      <c r="E44" s="66">
        <f>SUM(C44:D44)</f>
        <v>860</v>
      </c>
    </row>
    <row r="45" spans="1:5" x14ac:dyDescent="0.3">
      <c r="A45" s="63">
        <f t="shared" si="2"/>
        <v>46277</v>
      </c>
      <c r="B45" s="54" t="str">
        <f>B43</f>
        <v>G800</v>
      </c>
      <c r="C45" s="55">
        <f>'06НачисленияДни'!C53</f>
        <v>0</v>
      </c>
      <c r="D45" s="55">
        <f>'06НачисленияДни'!D53</f>
        <v>440</v>
      </c>
      <c r="E45" s="64">
        <f>C45+D45</f>
        <v>440</v>
      </c>
    </row>
    <row r="46" spans="1:5" ht="15" thickBot="1" x14ac:dyDescent="0.35">
      <c r="A46" s="76">
        <f t="shared" si="2"/>
        <v>46278</v>
      </c>
      <c r="B46" s="77" t="str">
        <f>B40</f>
        <v>G800</v>
      </c>
      <c r="C46" s="78">
        <f>'06НачисленияДни'!C62</f>
        <v>0</v>
      </c>
      <c r="D46" s="78">
        <f>'06НачисленияДни'!D62</f>
        <v>220</v>
      </c>
      <c r="E46" s="79">
        <f>SUM(C46:D46)</f>
        <v>220</v>
      </c>
    </row>
    <row r="47" spans="1:5" ht="15.6" thickTop="1" thickBot="1" x14ac:dyDescent="0.35">
      <c r="A47" s="72"/>
      <c r="B47" s="73" t="s">
        <v>54</v>
      </c>
      <c r="C47" s="74">
        <f>SUM(C40:C46)</f>
        <v>660</v>
      </c>
      <c r="D47" s="74">
        <f>SUM(D40:D46)</f>
        <v>1870</v>
      </c>
      <c r="E47" s="75">
        <f>SUM(E40:E46)</f>
        <v>2530</v>
      </c>
    </row>
    <row r="48" spans="1:5" ht="15" thickBot="1" x14ac:dyDescent="0.35"/>
    <row r="49" spans="1:5" x14ac:dyDescent="0.3">
      <c r="A49" s="59">
        <f t="shared" ref="A49:A55" si="3">A40</f>
        <v>46272</v>
      </c>
      <c r="B49" s="60" t="str">
        <f>'06НачисленияДни'!B9</f>
        <v>MiK</v>
      </c>
      <c r="C49" s="61">
        <f>'06НачисленияДни'!C9</f>
        <v>10</v>
      </c>
      <c r="D49" s="61">
        <f>'06НачисленияДни'!D9</f>
        <v>30</v>
      </c>
      <c r="E49" s="62">
        <f>C49+D49</f>
        <v>40</v>
      </c>
    </row>
    <row r="50" spans="1:5" x14ac:dyDescent="0.3">
      <c r="A50" s="63">
        <f t="shared" si="3"/>
        <v>46273</v>
      </c>
      <c r="B50" s="54" t="str">
        <f>B49</f>
        <v>MiK</v>
      </c>
      <c r="C50" s="55">
        <f>'06НачисленияДни'!C18</f>
        <v>0</v>
      </c>
      <c r="D50" s="55">
        <f>'06НачисленияДни'!D18</f>
        <v>0</v>
      </c>
      <c r="E50" s="64">
        <f>C50+D50</f>
        <v>0</v>
      </c>
    </row>
    <row r="51" spans="1:5" x14ac:dyDescent="0.3">
      <c r="A51" s="65">
        <f t="shared" si="3"/>
        <v>46274</v>
      </c>
      <c r="B51" s="10" t="str">
        <f>B49</f>
        <v>MiK</v>
      </c>
      <c r="C51" s="52">
        <f>'06НачисленияДни'!C27</f>
        <v>0</v>
      </c>
      <c r="D51" s="52">
        <f>'06НачисленияДни'!D27</f>
        <v>30</v>
      </c>
      <c r="E51" s="66">
        <f>SUM(C51:D51)</f>
        <v>30</v>
      </c>
    </row>
    <row r="52" spans="1:5" x14ac:dyDescent="0.3">
      <c r="A52" s="63">
        <f t="shared" si="3"/>
        <v>46275</v>
      </c>
      <c r="B52" s="54" t="str">
        <f>B51</f>
        <v>MiK</v>
      </c>
      <c r="C52" s="55">
        <f>'06НачисленияДни'!C36</f>
        <v>100</v>
      </c>
      <c r="D52" s="55">
        <f>'06НачисленияДни'!D36</f>
        <v>30</v>
      </c>
      <c r="E52" s="64">
        <f>C52+D52</f>
        <v>130</v>
      </c>
    </row>
    <row r="53" spans="1:5" x14ac:dyDescent="0.3">
      <c r="A53" s="65">
        <f t="shared" si="3"/>
        <v>46276</v>
      </c>
      <c r="B53" s="51" t="str">
        <f>B51</f>
        <v>MiK</v>
      </c>
      <c r="C53" s="52">
        <f>'06НачисленияДни'!C45</f>
        <v>0</v>
      </c>
      <c r="D53" s="52">
        <f>'06НачисленияДни'!D45</f>
        <v>180</v>
      </c>
      <c r="E53" s="66">
        <f>SUM(C53:D53)</f>
        <v>180</v>
      </c>
    </row>
    <row r="54" spans="1:5" x14ac:dyDescent="0.3">
      <c r="A54" s="63">
        <f t="shared" si="3"/>
        <v>46277</v>
      </c>
      <c r="B54" s="54" t="str">
        <f>B52</f>
        <v>MiK</v>
      </c>
      <c r="C54" s="55">
        <f>'06НачисленияДни'!C54</f>
        <v>0</v>
      </c>
      <c r="D54" s="55">
        <f>'06НачисленияДни'!D54</f>
        <v>120</v>
      </c>
      <c r="E54" s="64">
        <f>C54+D54</f>
        <v>120</v>
      </c>
    </row>
    <row r="55" spans="1:5" ht="15" thickBot="1" x14ac:dyDescent="0.35">
      <c r="A55" s="76">
        <f t="shared" si="3"/>
        <v>46278</v>
      </c>
      <c r="B55" s="77" t="str">
        <f>B49</f>
        <v>MiK</v>
      </c>
      <c r="C55" s="78">
        <f>'06НачисленияДни'!C63</f>
        <v>0</v>
      </c>
      <c r="D55" s="78">
        <f>'06НачисленияДни'!D63</f>
        <v>0</v>
      </c>
      <c r="E55" s="79">
        <f>SUM(C55:D55)</f>
        <v>0</v>
      </c>
    </row>
    <row r="56" spans="1:5" ht="15.6" thickTop="1" thickBot="1" x14ac:dyDescent="0.35">
      <c r="A56" s="72"/>
      <c r="B56" s="73" t="s">
        <v>54</v>
      </c>
      <c r="C56" s="74">
        <f>SUM(C49:C55)</f>
        <v>110</v>
      </c>
      <c r="D56" s="74">
        <f>SUM(D49:D55)</f>
        <v>390</v>
      </c>
      <c r="E56" s="75">
        <f>SUM(E49:E55)</f>
        <v>500</v>
      </c>
    </row>
    <row r="57" spans="1:5" ht="15" thickBot="1" x14ac:dyDescent="0.35"/>
    <row r="58" spans="1:5" x14ac:dyDescent="0.3">
      <c r="A58" s="59">
        <f t="shared" ref="A58:A64" si="4">A49</f>
        <v>46272</v>
      </c>
      <c r="B58" s="60" t="str">
        <f>'06НачисленияДни'!B10</f>
        <v>MiP</v>
      </c>
      <c r="C58" s="61">
        <f>'06НачисленияДни'!C10</f>
        <v>0</v>
      </c>
      <c r="D58" s="61">
        <f>'06НачисленияДни'!D10</f>
        <v>0</v>
      </c>
      <c r="E58" s="62">
        <f>C58+D58</f>
        <v>0</v>
      </c>
    </row>
    <row r="59" spans="1:5" x14ac:dyDescent="0.3">
      <c r="A59" s="63">
        <f t="shared" si="4"/>
        <v>46273</v>
      </c>
      <c r="B59" s="54" t="str">
        <f>B58</f>
        <v>MiP</v>
      </c>
      <c r="C59" s="55">
        <f>'06НачисленияДни'!C19</f>
        <v>0</v>
      </c>
      <c r="D59" s="55">
        <f>'06НачисленияДни'!D19</f>
        <v>0</v>
      </c>
      <c r="E59" s="64">
        <f>C59+D59</f>
        <v>0</v>
      </c>
    </row>
    <row r="60" spans="1:5" x14ac:dyDescent="0.3">
      <c r="A60" s="65">
        <f t="shared" si="4"/>
        <v>46274</v>
      </c>
      <c r="B60" s="10" t="str">
        <f>B58</f>
        <v>MiP</v>
      </c>
      <c r="C60" s="52">
        <f>'06НачисленияДни'!C28</f>
        <v>0</v>
      </c>
      <c r="D60" s="52">
        <f>'06НачисленияДни'!D28</f>
        <v>0</v>
      </c>
      <c r="E60" s="66">
        <f>SUM(C60:D60)</f>
        <v>0</v>
      </c>
    </row>
    <row r="61" spans="1:5" x14ac:dyDescent="0.3">
      <c r="A61" s="63">
        <f t="shared" si="4"/>
        <v>46275</v>
      </c>
      <c r="B61" s="54" t="str">
        <f>B60</f>
        <v>MiP</v>
      </c>
      <c r="C61" s="55">
        <f>'06НачисленияДни'!C37</f>
        <v>270</v>
      </c>
      <c r="D61" s="55">
        <f>'06НачисленияДни'!D37</f>
        <v>30</v>
      </c>
      <c r="E61" s="64">
        <f>C61+D61</f>
        <v>300</v>
      </c>
    </row>
    <row r="62" spans="1:5" x14ac:dyDescent="0.3">
      <c r="A62" s="65">
        <f t="shared" si="4"/>
        <v>46276</v>
      </c>
      <c r="B62" s="51" t="str">
        <f>B60</f>
        <v>MiP</v>
      </c>
      <c r="C62" s="52">
        <f>'06НачисленияДни'!C46</f>
        <v>0</v>
      </c>
      <c r="D62" s="52">
        <f>'06НачисленияДни'!D46</f>
        <v>30</v>
      </c>
      <c r="E62" s="66">
        <f>SUM(C62:D62)</f>
        <v>30</v>
      </c>
    </row>
    <row r="63" spans="1:5" x14ac:dyDescent="0.3">
      <c r="A63" s="63">
        <f t="shared" si="4"/>
        <v>46277</v>
      </c>
      <c r="B63" s="54" t="str">
        <f>B61</f>
        <v>MiP</v>
      </c>
      <c r="C63" s="55">
        <f>'06НачисленияДни'!C55</f>
        <v>0</v>
      </c>
      <c r="D63" s="55">
        <f>'06НачисленияДни'!D55</f>
        <v>30</v>
      </c>
      <c r="E63" s="64">
        <f>C63+D63</f>
        <v>30</v>
      </c>
    </row>
    <row r="64" spans="1:5" ht="15" thickBot="1" x14ac:dyDescent="0.35">
      <c r="A64" s="76">
        <f t="shared" si="4"/>
        <v>46278</v>
      </c>
      <c r="B64" s="77" t="str">
        <f>B58</f>
        <v>MiP</v>
      </c>
      <c r="C64" s="78">
        <f>'06НачисленияДни'!C64</f>
        <v>0</v>
      </c>
      <c r="D64" s="78">
        <f>'06НачисленияДни'!D64</f>
        <v>0</v>
      </c>
      <c r="E64" s="79">
        <f>SUM(C64:D64)</f>
        <v>0</v>
      </c>
    </row>
    <row r="65" spans="1:5" ht="15.6" thickTop="1" thickBot="1" x14ac:dyDescent="0.35">
      <c r="A65" s="72"/>
      <c r="B65" s="73" t="s">
        <v>54</v>
      </c>
      <c r="C65" s="74">
        <f>SUM(C58:C64)</f>
        <v>270</v>
      </c>
      <c r="D65" s="74">
        <f>SUM(D58:D64)</f>
        <v>90</v>
      </c>
      <c r="E65" s="75">
        <f>SUM(E58:E64)</f>
        <v>360</v>
      </c>
    </row>
    <row r="66" spans="1:5" ht="15" thickBot="1" x14ac:dyDescent="0.35"/>
    <row r="67" spans="1:5" x14ac:dyDescent="0.3">
      <c r="A67" s="59" t="s">
        <v>67</v>
      </c>
      <c r="B67" s="60" t="str">
        <f>B4</f>
        <v>Ak10</v>
      </c>
      <c r="C67" s="61">
        <f>C11</f>
        <v>0</v>
      </c>
      <c r="D67" s="61">
        <f>D11</f>
        <v>440</v>
      </c>
      <c r="E67" s="62">
        <f>E11</f>
        <v>440</v>
      </c>
    </row>
    <row r="68" spans="1:5" x14ac:dyDescent="0.3">
      <c r="A68" s="63"/>
      <c r="B68" s="54" t="str">
        <f>B13</f>
        <v>Ak15</v>
      </c>
      <c r="C68" s="55">
        <f>C20</f>
        <v>100</v>
      </c>
      <c r="D68" s="55">
        <f>D20</f>
        <v>320</v>
      </c>
      <c r="E68" s="64">
        <f>E20</f>
        <v>420</v>
      </c>
    </row>
    <row r="69" spans="1:5" x14ac:dyDescent="0.3">
      <c r="A69" s="65"/>
      <c r="B69" s="10" t="str">
        <f>B22</f>
        <v>G1800</v>
      </c>
      <c r="C69" s="52">
        <f>C29</f>
        <v>1320</v>
      </c>
      <c r="D69" s="52">
        <f>D29</f>
        <v>3825</v>
      </c>
      <c r="E69" s="66">
        <f>E29</f>
        <v>5145</v>
      </c>
    </row>
    <row r="70" spans="1:5" x14ac:dyDescent="0.3">
      <c r="A70" s="63"/>
      <c r="B70" s="54" t="str">
        <f>B31</f>
        <v>G3500</v>
      </c>
      <c r="C70" s="55">
        <f>C38</f>
        <v>40</v>
      </c>
      <c r="D70" s="55">
        <f>D38</f>
        <v>275</v>
      </c>
      <c r="E70" s="64">
        <f>E38</f>
        <v>315</v>
      </c>
    </row>
    <row r="71" spans="1:5" x14ac:dyDescent="0.3">
      <c r="A71" s="65"/>
      <c r="B71" s="51" t="str">
        <f>B40</f>
        <v>G800</v>
      </c>
      <c r="C71" s="52">
        <f>C47</f>
        <v>660</v>
      </c>
      <c r="D71" s="52">
        <f>D47</f>
        <v>1870</v>
      </c>
      <c r="E71" s="66">
        <f>E47</f>
        <v>2530</v>
      </c>
    </row>
    <row r="72" spans="1:5" x14ac:dyDescent="0.3">
      <c r="A72" s="63"/>
      <c r="B72" s="54" t="str">
        <f>B49</f>
        <v>MiK</v>
      </c>
      <c r="C72" s="55">
        <f>C56</f>
        <v>110</v>
      </c>
      <c r="D72" s="55">
        <f>D56</f>
        <v>390</v>
      </c>
      <c r="E72" s="64">
        <f>E56</f>
        <v>500</v>
      </c>
    </row>
    <row r="73" spans="1:5" ht="15" thickBot="1" x14ac:dyDescent="0.35">
      <c r="A73" s="76"/>
      <c r="B73" s="77" t="str">
        <f>B58</f>
        <v>MiP</v>
      </c>
      <c r="C73" s="78">
        <f>C65</f>
        <v>270</v>
      </c>
      <c r="D73" s="78">
        <f>D65</f>
        <v>90</v>
      </c>
      <c r="E73" s="79">
        <f>E65</f>
        <v>360</v>
      </c>
    </row>
    <row r="74" spans="1:5" ht="15.6" thickTop="1" thickBot="1" x14ac:dyDescent="0.35">
      <c r="A74" s="80" t="s">
        <v>68</v>
      </c>
      <c r="B74" s="73" t="s">
        <v>54</v>
      </c>
      <c r="C74" s="74">
        <f>SUM(C67:C73)</f>
        <v>2500</v>
      </c>
      <c r="D74" s="74">
        <f>SUM(D67:D73)</f>
        <v>7210</v>
      </c>
      <c r="E74" s="75">
        <f>SUM(E67:E73)</f>
        <v>9710</v>
      </c>
    </row>
  </sheetData>
  <mergeCells count="1">
    <mergeCell ref="A1:E1"/>
  </mergeCells>
  <pageMargins left="0.25" right="0.25" top="0.75" bottom="0.75" header="0.3" footer="0.3"/>
  <pageSetup paperSize="9" scale="6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1"/>
  <dimension ref="A1:E75"/>
  <sheetViews>
    <sheetView tabSelected="1" workbookViewId="0">
      <selection activeCell="A77" sqref="A77"/>
    </sheetView>
  </sheetViews>
  <sheetFormatPr defaultRowHeight="14.4" x14ac:dyDescent="0.3"/>
  <cols>
    <col min="1" max="5" width="15.77734375" customWidth="1"/>
  </cols>
  <sheetData>
    <row r="1" spans="1:5" ht="17.399999999999999" x14ac:dyDescent="0.3">
      <c r="A1" s="93" t="s">
        <v>76</v>
      </c>
      <c r="B1" s="94"/>
      <c r="C1" s="94"/>
      <c r="D1" s="94"/>
      <c r="E1" s="94"/>
    </row>
    <row r="2" spans="1:5" ht="15" thickBot="1" x14ac:dyDescent="0.35">
      <c r="A2" s="6" t="s">
        <v>57</v>
      </c>
      <c r="B2" s="82"/>
      <c r="C2" s="82"/>
      <c r="D2" s="82"/>
      <c r="E2" s="82"/>
    </row>
    <row r="3" spans="1:5" ht="15" thickBot="1" x14ac:dyDescent="0.35">
      <c r="A3" s="31" t="s">
        <v>46</v>
      </c>
      <c r="B3" s="30" t="s">
        <v>2</v>
      </c>
      <c r="C3" s="69" t="s">
        <v>56</v>
      </c>
      <c r="D3" s="70" t="s">
        <v>66</v>
      </c>
      <c r="E3" s="71" t="s">
        <v>54</v>
      </c>
    </row>
    <row r="4" spans="1:5" x14ac:dyDescent="0.3">
      <c r="A4" s="47">
        <f>'05Движение'!A4</f>
        <v>46272</v>
      </c>
      <c r="B4" s="48" t="str">
        <f>'05Движение'!B4</f>
        <v>Ak10</v>
      </c>
      <c r="C4" s="49">
        <f>IF('05Движение'!D4&gt;0,'05Движение'!D4*'02Тариф'!$B$3,0)</f>
        <v>0</v>
      </c>
      <c r="D4" s="50">
        <f>IF('05Движение'!E4&gt;0,'05Движение'!E4*('02Тариф'!$B$4+'02Тариф'!$B$5+'02Тариф'!$B$6),0)</f>
        <v>0</v>
      </c>
      <c r="E4" s="33">
        <f>C4+D4</f>
        <v>0</v>
      </c>
    </row>
    <row r="5" spans="1:5" x14ac:dyDescent="0.3">
      <c r="A5" s="34">
        <f>'05Движение'!A5</f>
        <v>46272</v>
      </c>
      <c r="B5" s="35" t="str">
        <f>'05Движение'!B5</f>
        <v>Ak15</v>
      </c>
      <c r="C5" s="36">
        <f>IF('05Движение'!D5&gt;0,'05Движение'!D5*'02Тариф'!$B$3,0)</f>
        <v>0</v>
      </c>
      <c r="D5" s="37">
        <f>IF('05Движение'!E5&gt;0,'05Движение'!E5*('02Тариф'!$B$4+'02Тариф'!$B$5+'02Тариф'!$B$6),0)</f>
        <v>0</v>
      </c>
      <c r="E5" s="38">
        <f t="shared" ref="E5:E10" si="0">SUM(C5:D5)</f>
        <v>0</v>
      </c>
    </row>
    <row r="6" spans="1:5" x14ac:dyDescent="0.3">
      <c r="A6" s="39">
        <f>'05Движение'!A6</f>
        <v>46272</v>
      </c>
      <c r="B6" s="40" t="str">
        <f>'05Движение'!B6</f>
        <v>G1800</v>
      </c>
      <c r="C6" s="41">
        <f>IF('05Движение'!D6&gt;0,'05Движение'!D6*'02Тариф'!$D$3,0)</f>
        <v>30</v>
      </c>
      <c r="D6" s="42">
        <f>IF('05Движение'!E6&gt;0,'05Движение'!E6*('02Тариф'!$D$4+'02Тариф'!$D$5+'02Тариф'!$D$6),0)</f>
        <v>225</v>
      </c>
      <c r="E6" s="43">
        <f t="shared" si="0"/>
        <v>255</v>
      </c>
    </row>
    <row r="7" spans="1:5" x14ac:dyDescent="0.3">
      <c r="A7" s="34">
        <f>'05Движение'!A7</f>
        <v>46272</v>
      </c>
      <c r="B7" s="35" t="str">
        <f>'05Движение'!B7</f>
        <v>G3500</v>
      </c>
      <c r="C7" s="36">
        <f>IF('05Движение'!D7&gt;0,'05Движение'!D7*'02Тариф'!$C$3,0)</f>
        <v>0</v>
      </c>
      <c r="D7" s="37">
        <f>IF('05Движение'!E7&gt;0,'05Движение'!E7*('02Тариф'!$C$4+'02Тариф'!$C$5+'02Тариф'!$C$6),0)</f>
        <v>0</v>
      </c>
      <c r="E7" s="38">
        <f t="shared" si="0"/>
        <v>0</v>
      </c>
    </row>
    <row r="8" spans="1:5" x14ac:dyDescent="0.3">
      <c r="A8" s="39">
        <f>'05Движение'!A8</f>
        <v>46272</v>
      </c>
      <c r="B8" s="40" t="str">
        <f>'05Движение'!B8</f>
        <v>G800</v>
      </c>
      <c r="C8" s="41">
        <f>IF('05Движение'!D8&gt;0,'05Движение'!D8*'02Тариф'!$C$3,0)</f>
        <v>20</v>
      </c>
      <c r="D8" s="42">
        <f>IF('05Движение'!E8&gt;0,'05Движение'!E8*('02Тариф'!$C$4+'02Тариф'!$C$5+'02Тариф'!$C$6),0)</f>
        <v>110</v>
      </c>
      <c r="E8" s="43">
        <f t="shared" si="0"/>
        <v>130</v>
      </c>
    </row>
    <row r="9" spans="1:5" x14ac:dyDescent="0.3">
      <c r="A9" s="34">
        <f>'05Движение'!A9</f>
        <v>46272</v>
      </c>
      <c r="B9" s="35" t="str">
        <f>'05Движение'!B9</f>
        <v>MiK</v>
      </c>
      <c r="C9" s="36">
        <f>IF('05Движение'!D9&gt;0,'05Движение'!D9*'02Тариф'!$B$3,0)</f>
        <v>10</v>
      </c>
      <c r="D9" s="37">
        <f>IF('05Движение'!E9&gt;0,'05Движение'!E9*('02Тариф'!$B$5+'02Тариф'!$B$6),0)</f>
        <v>30</v>
      </c>
      <c r="E9" s="38">
        <f t="shared" si="0"/>
        <v>40</v>
      </c>
    </row>
    <row r="10" spans="1:5" ht="15" thickBot="1" x14ac:dyDescent="0.35">
      <c r="A10" s="32">
        <f>'05Движение'!A10</f>
        <v>46272</v>
      </c>
      <c r="B10" s="29" t="str">
        <f>'05Движение'!B10</f>
        <v>MiP</v>
      </c>
      <c r="C10" s="44">
        <f>IF('05Движение'!D10&gt;0,'05Движение'!D10*'02Тариф'!$B$3,0)</f>
        <v>0</v>
      </c>
      <c r="D10" s="45">
        <f>IF('05Движение'!E10&gt;0,'05Движение'!E10*('02Тариф'!$B$5+'02Тариф'!$B$6),0)</f>
        <v>0</v>
      </c>
      <c r="E10" s="46">
        <f t="shared" si="0"/>
        <v>0</v>
      </c>
    </row>
    <row r="11" spans="1:5" ht="15.6" thickTop="1" thickBot="1" x14ac:dyDescent="0.35">
      <c r="A11" s="26" t="str">
        <f>'05Движение'!A11</f>
        <v>ПН</v>
      </c>
      <c r="B11" s="24" t="str">
        <f>'05Движение'!B11</f>
        <v>Пузанов Д.В.</v>
      </c>
      <c r="C11" s="27">
        <f>SUM(C4:C10)</f>
        <v>60</v>
      </c>
      <c r="D11" s="27">
        <f>SUM(D4:D10)</f>
        <v>365</v>
      </c>
      <c r="E11" s="28">
        <f>SUM(E4:E10)</f>
        <v>425</v>
      </c>
    </row>
    <row r="12" spans="1:5" ht="15" thickBot="1" x14ac:dyDescent="0.35">
      <c r="A12" s="82"/>
      <c r="B12" s="82"/>
      <c r="C12" s="82"/>
      <c r="D12" s="82"/>
      <c r="E12" s="82"/>
    </row>
    <row r="13" spans="1:5" x14ac:dyDescent="0.3">
      <c r="A13" s="47">
        <f>'05Движение'!A13</f>
        <v>46273</v>
      </c>
      <c r="B13" s="48" t="str">
        <f>'05Движение'!B13</f>
        <v>Ak10</v>
      </c>
      <c r="C13" s="49">
        <f>IF('05Движение'!D13&gt;0,'05Движение'!D13*'02Тариф'!$B$3,0)</f>
        <v>0</v>
      </c>
      <c r="D13" s="50">
        <f>IF('05Движение'!E13&gt;0,'05Движение'!E13*('02Тариф'!$B$4+'02Тариф'!$B$5+'02Тариф'!$B$6),0)</f>
        <v>40</v>
      </c>
      <c r="E13" s="33">
        <f>C13+D13</f>
        <v>40</v>
      </c>
    </row>
    <row r="14" spans="1:5" x14ac:dyDescent="0.3">
      <c r="A14" s="34">
        <f>'05Движение'!A14</f>
        <v>46273</v>
      </c>
      <c r="B14" s="35" t="str">
        <f>'05Движение'!B14</f>
        <v>Ak15</v>
      </c>
      <c r="C14" s="36">
        <f>IF('05Движение'!D14&gt;0,'05Движение'!D14*'02Тариф'!$B$3,0)</f>
        <v>0</v>
      </c>
      <c r="D14" s="37">
        <f>IF('05Движение'!E14&gt;0,'05Движение'!E14*('02Тариф'!$B$4+'02Тариф'!$B$5+'02Тариф'!$B$6),0)</f>
        <v>40</v>
      </c>
      <c r="E14" s="38">
        <f t="shared" ref="E14:E19" si="1">SUM(C14:D14)</f>
        <v>40</v>
      </c>
    </row>
    <row r="15" spans="1:5" x14ac:dyDescent="0.3">
      <c r="A15" s="39">
        <f>'05Движение'!A15</f>
        <v>46273</v>
      </c>
      <c r="B15" s="40" t="str">
        <f>'05Движение'!B15</f>
        <v>G1800</v>
      </c>
      <c r="C15" s="41">
        <f>IF('05Движение'!D15&gt;0,'05Движение'!D15*'02Тариф'!$D$3,0)</f>
        <v>0</v>
      </c>
      <c r="D15" s="42">
        <f>IF('05Движение'!E15&gt;0,'05Движение'!E15*('02Тариф'!$D$4+'02Тариф'!$D$5+'02Тариф'!$D$6),0)</f>
        <v>825</v>
      </c>
      <c r="E15" s="43">
        <f t="shared" si="1"/>
        <v>825</v>
      </c>
    </row>
    <row r="16" spans="1:5" x14ac:dyDescent="0.3">
      <c r="A16" s="34">
        <f>'05Движение'!A16</f>
        <v>46273</v>
      </c>
      <c r="B16" s="35" t="str">
        <f>'05Движение'!B16</f>
        <v>G3500</v>
      </c>
      <c r="C16" s="36">
        <f>IF('05Движение'!D16&gt;0,'05Движение'!D16*'02Тариф'!$C$3,0)</f>
        <v>0</v>
      </c>
      <c r="D16" s="37">
        <f>IF('05Движение'!E16&gt;0,'05Движение'!E16*('02Тариф'!$C$4+'02Тариф'!$C$5+'02Тариф'!$C$6),0)</f>
        <v>0</v>
      </c>
      <c r="E16" s="38">
        <f t="shared" si="1"/>
        <v>0</v>
      </c>
    </row>
    <row r="17" spans="1:5" x14ac:dyDescent="0.3">
      <c r="A17" s="39">
        <f>'05Движение'!A17</f>
        <v>46273</v>
      </c>
      <c r="B17" s="40" t="str">
        <f>'05Движение'!B17</f>
        <v>G800</v>
      </c>
      <c r="C17" s="41">
        <f>IF('05Движение'!D17&gt;0,'05Движение'!D17*'02Тариф'!$C$3,0)</f>
        <v>0</v>
      </c>
      <c r="D17" s="42">
        <f>IF('05Движение'!E17&gt;0,'05Движение'!E17*('02Тариф'!$C$4+'02Тариф'!$C$5+'02Тариф'!$C$6),0)</f>
        <v>165</v>
      </c>
      <c r="E17" s="43">
        <f t="shared" si="1"/>
        <v>165</v>
      </c>
    </row>
    <row r="18" spans="1:5" x14ac:dyDescent="0.3">
      <c r="A18" s="34">
        <f>'05Движение'!A18</f>
        <v>46273</v>
      </c>
      <c r="B18" s="35" t="str">
        <f>'05Движение'!B18</f>
        <v>MiK</v>
      </c>
      <c r="C18" s="36">
        <f>IF('05Движение'!D18&gt;0,'05Движение'!D18*'02Тариф'!$B$3,0)</f>
        <v>0</v>
      </c>
      <c r="D18" s="37">
        <f>IF('05Движение'!E18&gt;0,'05Движение'!E18*('02Тариф'!$B$5+'02Тариф'!$B$6),0)</f>
        <v>0</v>
      </c>
      <c r="E18" s="38">
        <f t="shared" si="1"/>
        <v>0</v>
      </c>
    </row>
    <row r="19" spans="1:5" ht="15" thickBot="1" x14ac:dyDescent="0.35">
      <c r="A19" s="32">
        <f>'05Движение'!A19</f>
        <v>46273</v>
      </c>
      <c r="B19" s="29" t="str">
        <f>'05Движение'!B19</f>
        <v>MiP</v>
      </c>
      <c r="C19" s="44">
        <f>IF('05Движение'!D19&gt;0,'05Движение'!D19*'02Тариф'!$B$3,0)</f>
        <v>0</v>
      </c>
      <c r="D19" s="45">
        <f>IF('05Движение'!E19&gt;0,'05Движение'!E19*('02Тариф'!$B$5+'02Тариф'!$B$6),0)</f>
        <v>0</v>
      </c>
      <c r="E19" s="46">
        <f t="shared" si="1"/>
        <v>0</v>
      </c>
    </row>
    <row r="20" spans="1:5" ht="15.6" thickTop="1" thickBot="1" x14ac:dyDescent="0.35">
      <c r="A20" s="26" t="str">
        <f>'05Движение'!A20</f>
        <v>ВТ</v>
      </c>
      <c r="B20" s="24" t="s">
        <v>43</v>
      </c>
      <c r="C20" s="27">
        <f>SUM(C13:C19)</f>
        <v>0</v>
      </c>
      <c r="D20" s="27">
        <f>SUM(D13:D19)</f>
        <v>1070</v>
      </c>
      <c r="E20" s="28">
        <f>SUM(E13:E19)</f>
        <v>1070</v>
      </c>
    </row>
    <row r="21" spans="1:5" ht="15" thickBot="1" x14ac:dyDescent="0.35">
      <c r="A21" s="82"/>
      <c r="B21" s="82"/>
      <c r="C21" s="82"/>
      <c r="D21" s="82"/>
      <c r="E21" s="82"/>
    </row>
    <row r="22" spans="1:5" x14ac:dyDescent="0.3">
      <c r="A22" s="47">
        <f>'05Движение'!A22</f>
        <v>46274</v>
      </c>
      <c r="B22" s="48" t="str">
        <f>'05Движение'!B22</f>
        <v>Ak10</v>
      </c>
      <c r="C22" s="49">
        <f>IF('05Движение'!D22&gt;0,'05Движение'!D22*'02Тариф'!$B$3,0)</f>
        <v>0</v>
      </c>
      <c r="D22" s="50">
        <f>IF('05Движение'!E22&gt;0,'05Движение'!E22*('02Тариф'!$B$4+'02Тариф'!$B$5+'02Тариф'!$B$6),0)</f>
        <v>0</v>
      </c>
      <c r="E22" s="33">
        <f>C22+D22</f>
        <v>0</v>
      </c>
    </row>
    <row r="23" spans="1:5" x14ac:dyDescent="0.3">
      <c r="A23" s="34">
        <f>'05Движение'!A23</f>
        <v>46274</v>
      </c>
      <c r="B23" s="35" t="str">
        <f>'05Движение'!B23</f>
        <v>Ak15</v>
      </c>
      <c r="C23" s="36">
        <f>IF('05Движение'!D23&gt;0,'05Движение'!D23*'02Тариф'!$B$3,0)</f>
        <v>0</v>
      </c>
      <c r="D23" s="37">
        <f>IF('05Движение'!E23&gt;0,'05Движение'!E23*('02Тариф'!$B$4+'02Тариф'!$B$5+'02Тариф'!$B$6),0)</f>
        <v>40</v>
      </c>
      <c r="E23" s="38">
        <f t="shared" ref="E23:E28" si="2">SUM(C23:D23)</f>
        <v>40</v>
      </c>
    </row>
    <row r="24" spans="1:5" x14ac:dyDescent="0.3">
      <c r="A24" s="39">
        <f>'05Движение'!A24</f>
        <v>46274</v>
      </c>
      <c r="B24" s="40" t="str">
        <f>'05Движение'!B24</f>
        <v>G1800</v>
      </c>
      <c r="C24" s="41">
        <f>IF('05Движение'!D24&gt;0,'05Движение'!D24*'02Тариф'!$D$3,0)</f>
        <v>0</v>
      </c>
      <c r="D24" s="42">
        <f>IF('05Движение'!E24&gt;0,'05Движение'!E24*('02Тариф'!$D$4+'02Тариф'!$D$5+'02Тариф'!$D$6),0)</f>
        <v>600</v>
      </c>
      <c r="E24" s="43">
        <f t="shared" si="2"/>
        <v>600</v>
      </c>
    </row>
    <row r="25" spans="1:5" x14ac:dyDescent="0.3">
      <c r="A25" s="34">
        <f>'05Движение'!A25</f>
        <v>46274</v>
      </c>
      <c r="B25" s="35" t="str">
        <f>'05Движение'!B25</f>
        <v>G3500</v>
      </c>
      <c r="C25" s="36">
        <f>IF('05Движение'!D25&gt;0,'05Движение'!D25*'02Тариф'!$C$3,0)</f>
        <v>0</v>
      </c>
      <c r="D25" s="37">
        <f>IF('05Движение'!E25&gt;0,'05Движение'!E25*('02Тариф'!$C$4+'02Тариф'!$C$5+'02Тариф'!$C$6),0)</f>
        <v>0</v>
      </c>
      <c r="E25" s="38">
        <f t="shared" si="2"/>
        <v>0</v>
      </c>
    </row>
    <row r="26" spans="1:5" x14ac:dyDescent="0.3">
      <c r="A26" s="39">
        <f>'05Движение'!A26</f>
        <v>46274</v>
      </c>
      <c r="B26" s="40" t="str">
        <f>'05Движение'!B26</f>
        <v>G800</v>
      </c>
      <c r="C26" s="41">
        <f>IF('05Движение'!D26&gt;0,'05Движение'!D26*'02Тариф'!$C$3,0)</f>
        <v>0</v>
      </c>
      <c r="D26" s="42">
        <f>IF('05Движение'!E26&gt;0,'05Движение'!E26*('02Тариф'!$C$4+'02Тариф'!$C$5+'02Тариф'!$C$6),0)</f>
        <v>275</v>
      </c>
      <c r="E26" s="43">
        <f t="shared" si="2"/>
        <v>275</v>
      </c>
    </row>
    <row r="27" spans="1:5" x14ac:dyDescent="0.3">
      <c r="A27" s="34">
        <f>'05Движение'!A27</f>
        <v>46274</v>
      </c>
      <c r="B27" s="35" t="str">
        <f>'05Движение'!B27</f>
        <v>MiK</v>
      </c>
      <c r="C27" s="36">
        <f>IF('05Движение'!D27&gt;0,'05Движение'!D27*'02Тариф'!$B$3,0)</f>
        <v>0</v>
      </c>
      <c r="D27" s="37">
        <f>IF('05Движение'!E27&gt;0,'05Движение'!E27*('02Тариф'!$B$5+'02Тариф'!$B$6),0)</f>
        <v>30</v>
      </c>
      <c r="E27" s="38">
        <f t="shared" si="2"/>
        <v>30</v>
      </c>
    </row>
    <row r="28" spans="1:5" ht="15" thickBot="1" x14ac:dyDescent="0.35">
      <c r="A28" s="32">
        <f>'05Движение'!A28</f>
        <v>46274</v>
      </c>
      <c r="B28" s="29" t="str">
        <f>'05Движение'!B28</f>
        <v>MiP</v>
      </c>
      <c r="C28" s="44">
        <f>IF('05Движение'!D28&gt;0,'05Движение'!D28*'02Тариф'!$B$3,0)</f>
        <v>0</v>
      </c>
      <c r="D28" s="45">
        <f>IF('05Движение'!E28&gt;0,'05Движение'!E28*('02Тариф'!$B$5+'02Тариф'!$B$6),0)</f>
        <v>0</v>
      </c>
      <c r="E28" s="46">
        <f t="shared" si="2"/>
        <v>0</v>
      </c>
    </row>
    <row r="29" spans="1:5" ht="15.6" thickTop="1" thickBot="1" x14ac:dyDescent="0.35">
      <c r="A29" s="26" t="str">
        <f>'05Движение'!A29</f>
        <v>СР</v>
      </c>
      <c r="B29" s="24" t="s">
        <v>43</v>
      </c>
      <c r="C29" s="27">
        <f>SUM(C22:C28)</f>
        <v>0</v>
      </c>
      <c r="D29" s="27">
        <f>SUM(D22:D28)</f>
        <v>945</v>
      </c>
      <c r="E29" s="28">
        <f>SUM(E22:E28)</f>
        <v>945</v>
      </c>
    </row>
    <row r="30" spans="1:5" ht="15" thickBot="1" x14ac:dyDescent="0.35">
      <c r="A30" s="82"/>
      <c r="B30" s="82"/>
      <c r="C30" s="82"/>
      <c r="D30" s="82"/>
      <c r="E30" s="82"/>
    </row>
    <row r="31" spans="1:5" x14ac:dyDescent="0.3">
      <c r="A31" s="47">
        <f>'05Движение'!A31</f>
        <v>46275</v>
      </c>
      <c r="B31" s="48" t="str">
        <f>'05Движение'!B31</f>
        <v>Ak10</v>
      </c>
      <c r="C31" s="49">
        <f>IF('05Движение'!D31&gt;0,'05Движение'!D31*'02Тариф'!$B$3,0)</f>
        <v>0</v>
      </c>
      <c r="D31" s="50">
        <f>IF('05Движение'!E31&gt;0,'05Движение'!E31*('02Тариф'!$B$4+'02Тариф'!$B$5+'02Тариф'!$B$6),0)</f>
        <v>0</v>
      </c>
      <c r="E31" s="33">
        <f>C31+D31</f>
        <v>0</v>
      </c>
    </row>
    <row r="32" spans="1:5" x14ac:dyDescent="0.3">
      <c r="A32" s="34">
        <f>'05Движение'!A32</f>
        <v>46275</v>
      </c>
      <c r="B32" s="35" t="str">
        <f>'05Движение'!B32</f>
        <v>Ak15</v>
      </c>
      <c r="C32" s="36">
        <f>IF('05Движение'!D32&gt;0,'05Движение'!D32*'02Тариф'!$B$3,0)</f>
        <v>100</v>
      </c>
      <c r="D32" s="37">
        <f>IF('05Движение'!E32&gt;0,'05Движение'!E32*('02Тариф'!$B$4+'02Тариф'!$B$5+'02Тариф'!$B$6),0)</f>
        <v>0</v>
      </c>
      <c r="E32" s="38">
        <f t="shared" ref="E32:E37" si="3">SUM(C32:D32)</f>
        <v>100</v>
      </c>
    </row>
    <row r="33" spans="1:5" x14ac:dyDescent="0.3">
      <c r="A33" s="39">
        <f>'05Движение'!A33</f>
        <v>46275</v>
      </c>
      <c r="B33" s="40" t="str">
        <f>'05Движение'!B33</f>
        <v>G1800</v>
      </c>
      <c r="C33" s="41">
        <f>IF('05Движение'!D33&gt;0,'05Движение'!D33*'02Тариф'!$D$3,0)</f>
        <v>1290</v>
      </c>
      <c r="D33" s="42">
        <f>IF('05Движение'!E33&gt;0,'05Движение'!E33*('02Тариф'!$D$4+'02Тариф'!$D$5+'02Тариф'!$D$6),0)</f>
        <v>750</v>
      </c>
      <c r="E33" s="43">
        <f t="shared" si="3"/>
        <v>2040</v>
      </c>
    </row>
    <row r="34" spans="1:5" x14ac:dyDescent="0.3">
      <c r="A34" s="34">
        <f>'05Движение'!A34</f>
        <v>46275</v>
      </c>
      <c r="B34" s="35" t="str">
        <f>'05Движение'!B34</f>
        <v>G3500</v>
      </c>
      <c r="C34" s="36">
        <f>IF('05Движение'!D34&gt;0,'05Движение'!D34*'02Тариф'!$C$3,0)</f>
        <v>20</v>
      </c>
      <c r="D34" s="37">
        <f>IF('05Движение'!E34&gt;0,'05Движение'!E34*('02Тариф'!$C$4+'02Тариф'!$C$5+'02Тариф'!$C$6),0)</f>
        <v>0</v>
      </c>
      <c r="E34" s="38">
        <f t="shared" si="3"/>
        <v>20</v>
      </c>
    </row>
    <row r="35" spans="1:5" x14ac:dyDescent="0.3">
      <c r="A35" s="39">
        <f>'05Движение'!A35</f>
        <v>46275</v>
      </c>
      <c r="B35" s="40" t="str">
        <f>'05Движение'!B35</f>
        <v>G800</v>
      </c>
      <c r="C35" s="41">
        <f>IF('05Движение'!D35&gt;0,'05Движение'!D35*'02Тариф'!$C$3,0)</f>
        <v>0</v>
      </c>
      <c r="D35" s="42">
        <f>IF('05Движение'!E35&gt;0,'05Движение'!E35*('02Тариф'!$C$4+'02Тариф'!$C$5+'02Тариф'!$C$6),0)</f>
        <v>440</v>
      </c>
      <c r="E35" s="43">
        <f t="shared" si="3"/>
        <v>440</v>
      </c>
    </row>
    <row r="36" spans="1:5" x14ac:dyDescent="0.3">
      <c r="A36" s="34">
        <f>'05Движение'!A36</f>
        <v>46275</v>
      </c>
      <c r="B36" s="35" t="str">
        <f>'05Движение'!B36</f>
        <v>MiK</v>
      </c>
      <c r="C36" s="36">
        <f>IF('05Движение'!D36&gt;0,'05Движение'!D36*'02Тариф'!$B$3,0)</f>
        <v>100</v>
      </c>
      <c r="D36" s="37">
        <f>IF('05Движение'!E36&gt;0,'05Движение'!E36*('02Тариф'!$B$5+'02Тариф'!$B$6),0)</f>
        <v>30</v>
      </c>
      <c r="E36" s="38">
        <f t="shared" si="3"/>
        <v>130</v>
      </c>
    </row>
    <row r="37" spans="1:5" ht="15" thickBot="1" x14ac:dyDescent="0.35">
      <c r="A37" s="32">
        <f>'05Движение'!A37</f>
        <v>46275</v>
      </c>
      <c r="B37" s="29" t="str">
        <f>'05Движение'!B37</f>
        <v>MiP</v>
      </c>
      <c r="C37" s="44">
        <f>IF('05Движение'!D37&gt;0,'05Движение'!D37*'02Тариф'!$B$3,0)</f>
        <v>270</v>
      </c>
      <c r="D37" s="45">
        <f>IF('05Движение'!E37&gt;0,'05Движение'!E37*('02Тариф'!$B$5+'02Тариф'!$B$6),0)</f>
        <v>30</v>
      </c>
      <c r="E37" s="46">
        <f t="shared" si="3"/>
        <v>300</v>
      </c>
    </row>
    <row r="38" spans="1:5" ht="15.6" thickTop="1" thickBot="1" x14ac:dyDescent="0.35">
      <c r="A38" s="26" t="str">
        <f>'05Движение'!A38</f>
        <v>ЧТ</v>
      </c>
      <c r="B38" s="24" t="s">
        <v>43</v>
      </c>
      <c r="C38" s="27">
        <f>SUM(C31:C37)</f>
        <v>1780</v>
      </c>
      <c r="D38" s="27">
        <f>SUM(D31:D37)</f>
        <v>1250</v>
      </c>
      <c r="E38" s="28">
        <f>SUM(E31:E37)</f>
        <v>3030</v>
      </c>
    </row>
    <row r="39" spans="1:5" ht="15" thickBot="1" x14ac:dyDescent="0.35">
      <c r="A39" s="82"/>
      <c r="B39" s="82"/>
      <c r="C39" s="82"/>
      <c r="D39" s="82"/>
      <c r="E39" s="82"/>
    </row>
    <row r="40" spans="1:5" x14ac:dyDescent="0.3">
      <c r="A40" s="47">
        <f>'05Движение'!A40</f>
        <v>46276</v>
      </c>
      <c r="B40" s="48" t="str">
        <f>'05Движение'!B40</f>
        <v>Ak10</v>
      </c>
      <c r="C40" s="49">
        <f>IF('05Движение'!D40&gt;0,'05Движение'!D40*'02Тариф'!$B$3,0)</f>
        <v>0</v>
      </c>
      <c r="D40" s="50">
        <f>IF('05Движение'!E40&gt;0,'05Движение'!E40*('02Тариф'!$B$4+'02Тариф'!$B$5+'02Тариф'!$B$6),0)</f>
        <v>200</v>
      </c>
      <c r="E40" s="33">
        <f>C40+D40</f>
        <v>200</v>
      </c>
    </row>
    <row r="41" spans="1:5" x14ac:dyDescent="0.3">
      <c r="A41" s="34">
        <f>'05Движение'!A41</f>
        <v>46276</v>
      </c>
      <c r="B41" s="35" t="str">
        <f>'05Движение'!B41</f>
        <v>Ak15</v>
      </c>
      <c r="C41" s="36">
        <f>IF('05Движение'!D41&gt;0,'05Движение'!D41*'02Тариф'!$B$3,0)</f>
        <v>0</v>
      </c>
      <c r="D41" s="37">
        <f>IF('05Движение'!E41&gt;0,'05Движение'!E41*('02Тариф'!$B$4+'02Тариф'!$B$5+'02Тариф'!$B$6),0)</f>
        <v>80</v>
      </c>
      <c r="E41" s="38">
        <f t="shared" ref="E41:E46" si="4">SUM(C41:D41)</f>
        <v>80</v>
      </c>
    </row>
    <row r="42" spans="1:5" x14ac:dyDescent="0.3">
      <c r="A42" s="39">
        <f>'05Движение'!A42</f>
        <v>46276</v>
      </c>
      <c r="B42" s="40" t="str">
        <f>'05Движение'!B42</f>
        <v>G1800</v>
      </c>
      <c r="C42" s="41">
        <f>IF('05Движение'!D42&gt;0,'05Движение'!D42*'02Тариф'!$D$3,0)</f>
        <v>0</v>
      </c>
      <c r="D42" s="42">
        <f>IF('05Движение'!E42&gt;0,'05Движение'!E42*('02Тариф'!$D$4+'02Тариф'!$D$5+'02Тариф'!$D$6),0)</f>
        <v>900</v>
      </c>
      <c r="E42" s="43">
        <f t="shared" si="4"/>
        <v>900</v>
      </c>
    </row>
    <row r="43" spans="1:5" x14ac:dyDescent="0.3">
      <c r="A43" s="34">
        <f>'05Движение'!A43</f>
        <v>46276</v>
      </c>
      <c r="B43" s="35" t="str">
        <f>'05Движение'!B43</f>
        <v>G3500</v>
      </c>
      <c r="C43" s="36">
        <f>IF('05Движение'!D43&gt;0,'05Движение'!D43*'02Тариф'!$C$3,0)</f>
        <v>0</v>
      </c>
      <c r="D43" s="37">
        <f>IF('05Движение'!E43&gt;0,'05Движение'!E43*('02Тариф'!$C$4+'02Тариф'!$C$5+'02Тариф'!$C$6),0)</f>
        <v>110</v>
      </c>
      <c r="E43" s="38">
        <f t="shared" si="4"/>
        <v>110</v>
      </c>
    </row>
    <row r="44" spans="1:5" x14ac:dyDescent="0.3">
      <c r="A44" s="39">
        <f>'05Движение'!A44</f>
        <v>46276</v>
      </c>
      <c r="B44" s="40" t="str">
        <f>'05Движение'!B44</f>
        <v>G800</v>
      </c>
      <c r="C44" s="41">
        <f>IF('05Движение'!D44&gt;0,'05Движение'!D44*'02Тариф'!$C$3,0)</f>
        <v>640</v>
      </c>
      <c r="D44" s="42">
        <f>IF('05Движение'!E44&gt;0,'05Движение'!E44*('02Тариф'!$C$4+'02Тариф'!$C$5+'02Тариф'!$C$6),0)</f>
        <v>220</v>
      </c>
      <c r="E44" s="43">
        <f t="shared" si="4"/>
        <v>860</v>
      </c>
    </row>
    <row r="45" spans="1:5" x14ac:dyDescent="0.3">
      <c r="A45" s="34">
        <f>'05Движение'!A45</f>
        <v>46276</v>
      </c>
      <c r="B45" s="35" t="str">
        <f>'05Движение'!B45</f>
        <v>MiK</v>
      </c>
      <c r="C45" s="36">
        <f>IF('05Движение'!D45&gt;0,'05Движение'!D45*'02Тариф'!$B$3,0)</f>
        <v>0</v>
      </c>
      <c r="D45" s="37">
        <f>IF('05Движение'!E45&gt;0,'05Движение'!E45*('02Тариф'!$B$5+'02Тариф'!$B$6),0)</f>
        <v>180</v>
      </c>
      <c r="E45" s="38">
        <f t="shared" si="4"/>
        <v>180</v>
      </c>
    </row>
    <row r="46" spans="1:5" ht="15" thickBot="1" x14ac:dyDescent="0.35">
      <c r="A46" s="32">
        <f>'05Движение'!A46</f>
        <v>46276</v>
      </c>
      <c r="B46" s="29" t="str">
        <f>'05Движение'!B46</f>
        <v>MiP</v>
      </c>
      <c r="C46" s="44">
        <f>IF('05Движение'!D46&gt;0,'05Движение'!D46*'02Тариф'!$B$3,0)</f>
        <v>0</v>
      </c>
      <c r="D46" s="45">
        <f>IF('05Движение'!E46&gt;0,'05Движение'!E46*('02Тариф'!$B$5+'02Тариф'!$B$6),0)</f>
        <v>30</v>
      </c>
      <c r="E46" s="46">
        <f t="shared" si="4"/>
        <v>30</v>
      </c>
    </row>
    <row r="47" spans="1:5" ht="15.6" thickTop="1" thickBot="1" x14ac:dyDescent="0.35">
      <c r="A47" s="26" t="str">
        <f>'05Движение'!A47</f>
        <v>ПТ</v>
      </c>
      <c r="B47" s="24" t="s">
        <v>45</v>
      </c>
      <c r="C47" s="27">
        <f>SUM(C40:C46)</f>
        <v>640</v>
      </c>
      <c r="D47" s="27">
        <f>SUM(D40:D46)</f>
        <v>1720</v>
      </c>
      <c r="E47" s="28">
        <f>SUM(E40:E46)</f>
        <v>2360</v>
      </c>
    </row>
    <row r="48" spans="1:5" ht="15" thickBot="1" x14ac:dyDescent="0.35">
      <c r="A48" s="82"/>
      <c r="B48" s="82"/>
      <c r="C48" s="82"/>
      <c r="D48" s="82"/>
      <c r="E48" s="82"/>
    </row>
    <row r="49" spans="1:5" x14ac:dyDescent="0.3">
      <c r="A49" s="47">
        <f>'05Движение'!A49</f>
        <v>46277</v>
      </c>
      <c r="B49" s="48" t="str">
        <f>'05Движение'!B49</f>
        <v>Ak10</v>
      </c>
      <c r="C49" s="49">
        <f>IF('05Движение'!D49&gt;0,'05Движение'!D49*'02Тариф'!$B$3,0)</f>
        <v>0</v>
      </c>
      <c r="D49" s="50">
        <f>IF('05Движение'!E49&gt;0,'05Движение'!E49*('02Тариф'!$B$4+'02Тариф'!$B$5+'02Тариф'!$B$6),0)</f>
        <v>40</v>
      </c>
      <c r="E49" s="33">
        <f>C49+D49</f>
        <v>40</v>
      </c>
    </row>
    <row r="50" spans="1:5" x14ac:dyDescent="0.3">
      <c r="A50" s="34">
        <f>'05Движение'!A50</f>
        <v>46277</v>
      </c>
      <c r="B50" s="35" t="str">
        <f>'05Движение'!B50</f>
        <v>Ak15</v>
      </c>
      <c r="C50" s="36">
        <f>IF('05Движение'!D50&gt;0,'05Движение'!D50*'02Тариф'!$B$3,0)</f>
        <v>0</v>
      </c>
      <c r="D50" s="37">
        <f>IF('05Движение'!E50&gt;0,'05Движение'!E50*('02Тариф'!$B$4+'02Тариф'!$B$5+'02Тариф'!$B$6),0)</f>
        <v>80</v>
      </c>
      <c r="E50" s="38">
        <f t="shared" ref="E50:E55" si="5">SUM(C50:D50)</f>
        <v>80</v>
      </c>
    </row>
    <row r="51" spans="1:5" x14ac:dyDescent="0.3">
      <c r="A51" s="39">
        <f>'05Движение'!A51</f>
        <v>46277</v>
      </c>
      <c r="B51" s="40" t="str">
        <f>'05Движение'!B51</f>
        <v>G1800</v>
      </c>
      <c r="C51" s="41">
        <f>IF('05Движение'!D51&gt;0,'05Движение'!D51*'02Тариф'!$D$3,0)</f>
        <v>0</v>
      </c>
      <c r="D51" s="42">
        <f>IF('05Движение'!E51&gt;0,'05Движение'!E51*('02Тариф'!$D$4+'02Тариф'!$D$5+'02Тариф'!$D$6),0)</f>
        <v>375</v>
      </c>
      <c r="E51" s="43">
        <f t="shared" si="5"/>
        <v>375</v>
      </c>
    </row>
    <row r="52" spans="1:5" x14ac:dyDescent="0.3">
      <c r="A52" s="34">
        <f>'05Движение'!A52</f>
        <v>46277</v>
      </c>
      <c r="B52" s="35" t="str">
        <f>'05Движение'!B52</f>
        <v>G3500</v>
      </c>
      <c r="C52" s="36">
        <f>IF('05Движение'!D52&gt;0,'05Движение'!D52*'02Тариф'!$C$3,0)</f>
        <v>0</v>
      </c>
      <c r="D52" s="37">
        <f>IF('05Движение'!E52&gt;0,'05Движение'!E52*('02Тариф'!$C$4+'02Тариф'!$C$5+'02Тариф'!$C$6),0)</f>
        <v>55</v>
      </c>
      <c r="E52" s="38">
        <f t="shared" si="5"/>
        <v>55</v>
      </c>
    </row>
    <row r="53" spans="1:5" x14ac:dyDescent="0.3">
      <c r="A53" s="39">
        <f>'05Движение'!A53</f>
        <v>46277</v>
      </c>
      <c r="B53" s="40" t="str">
        <f>'05Движение'!B53</f>
        <v>G800</v>
      </c>
      <c r="C53" s="41">
        <f>IF('05Движение'!D53&gt;0,'05Движение'!D53*'02Тариф'!$C$3,0)</f>
        <v>0</v>
      </c>
      <c r="D53" s="42">
        <f>IF('05Движение'!E53&gt;0,'05Движение'!E53*('02Тариф'!$C$4+'02Тариф'!$C$5+'02Тариф'!$C$6),0)</f>
        <v>440</v>
      </c>
      <c r="E53" s="43">
        <f t="shared" si="5"/>
        <v>440</v>
      </c>
    </row>
    <row r="54" spans="1:5" x14ac:dyDescent="0.3">
      <c r="A54" s="34">
        <f>'05Движение'!A54</f>
        <v>46277</v>
      </c>
      <c r="B54" s="35" t="str">
        <f>'05Движение'!B54</f>
        <v>MiK</v>
      </c>
      <c r="C54" s="36">
        <f>IF('05Движение'!D54&gt;0,'05Движение'!D54*'02Тариф'!$B$3,0)</f>
        <v>0</v>
      </c>
      <c r="D54" s="37">
        <f>IF('05Движение'!E54&gt;0,'05Движение'!E54*('02Тариф'!$B$5+'02Тариф'!$B$6),0)</f>
        <v>120</v>
      </c>
      <c r="E54" s="38">
        <f t="shared" si="5"/>
        <v>120</v>
      </c>
    </row>
    <row r="55" spans="1:5" ht="15" thickBot="1" x14ac:dyDescent="0.35">
      <c r="A55" s="32">
        <f>'05Движение'!A55</f>
        <v>46277</v>
      </c>
      <c r="B55" s="29" t="str">
        <f>'05Движение'!B55</f>
        <v>MiP</v>
      </c>
      <c r="C55" s="44">
        <f>IF('05Движение'!D55&gt;0,'05Движение'!D55*'02Тариф'!$B$3,0)</f>
        <v>0</v>
      </c>
      <c r="D55" s="45">
        <f>IF('05Движение'!E55&gt;0,'05Движение'!E55*('02Тариф'!$B$5+'02Тариф'!$B$6),0)</f>
        <v>30</v>
      </c>
      <c r="E55" s="46">
        <f t="shared" si="5"/>
        <v>30</v>
      </c>
    </row>
    <row r="56" spans="1:5" ht="15.6" thickTop="1" thickBot="1" x14ac:dyDescent="0.35">
      <c r="A56" s="26" t="str">
        <f>'05Движение'!A56</f>
        <v>СБ</v>
      </c>
      <c r="B56" s="24" t="s">
        <v>43</v>
      </c>
      <c r="C56" s="27">
        <f>SUM(C49:C55)</f>
        <v>0</v>
      </c>
      <c r="D56" s="27">
        <f>SUM(D49:D55)</f>
        <v>1140</v>
      </c>
      <c r="E56" s="28">
        <f>SUM(E49:E55)</f>
        <v>1140</v>
      </c>
    </row>
    <row r="57" spans="1:5" ht="15" thickBot="1" x14ac:dyDescent="0.35">
      <c r="A57" s="82"/>
      <c r="B57" s="82"/>
      <c r="C57" s="82"/>
      <c r="D57" s="82"/>
      <c r="E57" s="82"/>
    </row>
    <row r="58" spans="1:5" x14ac:dyDescent="0.3">
      <c r="A58" s="47">
        <f>'05Движение'!A58</f>
        <v>46278</v>
      </c>
      <c r="B58" s="48" t="str">
        <f>'05Движение'!B58</f>
        <v>Ak10</v>
      </c>
      <c r="C58" s="49">
        <f>IF('05Движение'!D58&gt;0,'05Движение'!D58*'02Тариф'!$B$3,0)</f>
        <v>0</v>
      </c>
      <c r="D58" s="50">
        <f>IF('05Движение'!E58&gt;0,'05Движение'!E58*('02Тариф'!$B$4+'02Тариф'!$B$5+'02Тариф'!$B$6),0)</f>
        <v>160</v>
      </c>
      <c r="E58" s="33">
        <f>C58+D58</f>
        <v>160</v>
      </c>
    </row>
    <row r="59" spans="1:5" x14ac:dyDescent="0.3">
      <c r="A59" s="34">
        <f>'05Движение'!A59</f>
        <v>46278</v>
      </c>
      <c r="B59" s="35" t="str">
        <f>'05Движение'!B59</f>
        <v>Ak15</v>
      </c>
      <c r="C59" s="36">
        <f>IF('05Движение'!D59&gt;0,'05Движение'!D59*'02Тариф'!$B$3,0)</f>
        <v>0</v>
      </c>
      <c r="D59" s="37">
        <f>IF('05Движение'!E59&gt;0,'05Движение'!E59*('02Тариф'!$B$4+'02Тариф'!$B$5+'02Тариф'!$B$6),0)</f>
        <v>80</v>
      </c>
      <c r="E59" s="38">
        <f t="shared" ref="E59:E64" si="6">SUM(C59:D59)</f>
        <v>80</v>
      </c>
    </row>
    <row r="60" spans="1:5" x14ac:dyDescent="0.3">
      <c r="A60" s="39">
        <f>'05Движение'!A60</f>
        <v>46278</v>
      </c>
      <c r="B60" s="40" t="str">
        <f>'05Движение'!B60</f>
        <v>G1800</v>
      </c>
      <c r="C60" s="41">
        <f>IF('05Движение'!D60&gt;0,'05Движение'!D60*'02Тариф'!$D$3,0)</f>
        <v>0</v>
      </c>
      <c r="D60" s="42">
        <f>IF('05Движение'!E60&gt;0,'05Движение'!E60*('02Тариф'!$D$4+'02Тариф'!$D$5+'02Тариф'!$D$6),0)</f>
        <v>150</v>
      </c>
      <c r="E60" s="43">
        <f t="shared" si="6"/>
        <v>150</v>
      </c>
    </row>
    <row r="61" spans="1:5" x14ac:dyDescent="0.3">
      <c r="A61" s="34">
        <f>'05Движение'!A61</f>
        <v>46278</v>
      </c>
      <c r="B61" s="35" t="str">
        <f>'05Движение'!B61</f>
        <v>G3500</v>
      </c>
      <c r="C61" s="36">
        <f>IF('05Движение'!D61&gt;0,'05Движение'!D61*'02Тариф'!$C$3,0)</f>
        <v>20</v>
      </c>
      <c r="D61" s="37">
        <f>IF('05Движение'!E61&gt;0,'05Движение'!E61*('02Тариф'!$C$4+'02Тариф'!$C$5+'02Тариф'!$C$6),0)</f>
        <v>110</v>
      </c>
      <c r="E61" s="38">
        <f t="shared" si="6"/>
        <v>130</v>
      </c>
    </row>
    <row r="62" spans="1:5" x14ac:dyDescent="0.3">
      <c r="A62" s="39">
        <f>'05Движение'!A62</f>
        <v>46278</v>
      </c>
      <c r="B62" s="40" t="str">
        <f>'05Движение'!B62</f>
        <v>G800</v>
      </c>
      <c r="C62" s="41">
        <f>IF('05Движение'!D62&gt;0,'05Движение'!D62*'02Тариф'!$C$3,0)</f>
        <v>0</v>
      </c>
      <c r="D62" s="42">
        <f>IF('05Движение'!E62&gt;0,'05Движение'!E62*('02Тариф'!$C$4+'02Тариф'!$C$5+'02Тариф'!$C$6),0)</f>
        <v>220</v>
      </c>
      <c r="E62" s="43">
        <f t="shared" si="6"/>
        <v>220</v>
      </c>
    </row>
    <row r="63" spans="1:5" x14ac:dyDescent="0.3">
      <c r="A63" s="34">
        <f>'05Движение'!A63</f>
        <v>46278</v>
      </c>
      <c r="B63" s="35" t="str">
        <f>'05Движение'!B63</f>
        <v>MiK</v>
      </c>
      <c r="C63" s="36">
        <f>IF('05Движение'!D63&gt;0,'05Движение'!D63*'02Тариф'!$B$3,0)</f>
        <v>0</v>
      </c>
      <c r="D63" s="37">
        <f>IF('05Движение'!E63&gt;0,'05Движение'!E63*('02Тариф'!$B$5+'02Тариф'!$B$6),0)</f>
        <v>0</v>
      </c>
      <c r="E63" s="38">
        <f t="shared" si="6"/>
        <v>0</v>
      </c>
    </row>
    <row r="64" spans="1:5" ht="15" thickBot="1" x14ac:dyDescent="0.35">
      <c r="A64" s="32">
        <f>'05Движение'!A64</f>
        <v>46278</v>
      </c>
      <c r="B64" s="29" t="str">
        <f>'05Движение'!B64</f>
        <v>MiP</v>
      </c>
      <c r="C64" s="44">
        <f>IF('05Движение'!D64&gt;0,'05Движение'!D64*'02Тариф'!$B$3,0)</f>
        <v>0</v>
      </c>
      <c r="D64" s="45">
        <f>IF('05Движение'!E64&gt;0,'05Движение'!E64*('02Тариф'!$B$5+'02Тариф'!$B$6),0)</f>
        <v>0</v>
      </c>
      <c r="E64" s="46">
        <f t="shared" si="6"/>
        <v>0</v>
      </c>
    </row>
    <row r="65" spans="1:5" ht="15.6" thickTop="1" thickBot="1" x14ac:dyDescent="0.35">
      <c r="A65" s="26" t="str">
        <f>'05Движение'!A65</f>
        <v>ВС</v>
      </c>
      <c r="B65" s="24" t="s">
        <v>43</v>
      </c>
      <c r="C65" s="27">
        <f>SUM(C58:C64)</f>
        <v>20</v>
      </c>
      <c r="D65" s="27">
        <f>SUM(D58:D64)</f>
        <v>720</v>
      </c>
      <c r="E65" s="28">
        <f>SUM(E58:E64)</f>
        <v>740</v>
      </c>
    </row>
    <row r="66" spans="1:5" ht="15" thickBot="1" x14ac:dyDescent="0.35">
      <c r="A66" s="82"/>
      <c r="B66" s="82"/>
      <c r="C66" s="82"/>
      <c r="D66" s="82"/>
      <c r="E66" s="82"/>
    </row>
    <row r="67" spans="1:5" x14ac:dyDescent="0.3">
      <c r="A67" s="47"/>
      <c r="B67" s="48" t="str">
        <f>B4</f>
        <v>Ak10</v>
      </c>
      <c r="C67" s="49">
        <f t="shared" ref="C67:D73" si="7">C4+C13+C22+C31+C40+C49+C58</f>
        <v>0</v>
      </c>
      <c r="D67" s="50">
        <f t="shared" si="7"/>
        <v>440</v>
      </c>
      <c r="E67" s="33">
        <f t="shared" ref="E67:E73" si="8">C67+D67</f>
        <v>440</v>
      </c>
    </row>
    <row r="68" spans="1:5" x14ac:dyDescent="0.3">
      <c r="A68" s="34"/>
      <c r="B68" s="35" t="str">
        <f t="shared" ref="B68:B73" si="9">B5</f>
        <v>Ak15</v>
      </c>
      <c r="C68" s="36">
        <f t="shared" si="7"/>
        <v>100</v>
      </c>
      <c r="D68" s="37">
        <f t="shared" si="7"/>
        <v>320</v>
      </c>
      <c r="E68" s="38">
        <f t="shared" si="8"/>
        <v>420</v>
      </c>
    </row>
    <row r="69" spans="1:5" x14ac:dyDescent="0.3">
      <c r="A69" s="39"/>
      <c r="B69" s="40" t="str">
        <f t="shared" si="9"/>
        <v>G1800</v>
      </c>
      <c r="C69" s="41">
        <f t="shared" si="7"/>
        <v>1320</v>
      </c>
      <c r="D69" s="42">
        <f t="shared" si="7"/>
        <v>3825</v>
      </c>
      <c r="E69" s="43">
        <f t="shared" si="8"/>
        <v>5145</v>
      </c>
    </row>
    <row r="70" spans="1:5" x14ac:dyDescent="0.3">
      <c r="A70" s="34"/>
      <c r="B70" s="35" t="str">
        <f t="shared" si="9"/>
        <v>G3500</v>
      </c>
      <c r="C70" s="36">
        <f t="shared" si="7"/>
        <v>40</v>
      </c>
      <c r="D70" s="37">
        <f t="shared" si="7"/>
        <v>275</v>
      </c>
      <c r="E70" s="38">
        <f t="shared" si="8"/>
        <v>315</v>
      </c>
    </row>
    <row r="71" spans="1:5" x14ac:dyDescent="0.3">
      <c r="A71" s="39"/>
      <c r="B71" s="40" t="str">
        <f t="shared" si="9"/>
        <v>G800</v>
      </c>
      <c r="C71" s="41">
        <f t="shared" si="7"/>
        <v>660</v>
      </c>
      <c r="D71" s="42">
        <f t="shared" si="7"/>
        <v>1870</v>
      </c>
      <c r="E71" s="43">
        <f t="shared" si="8"/>
        <v>2530</v>
      </c>
    </row>
    <row r="72" spans="1:5" x14ac:dyDescent="0.3">
      <c r="A72" s="34"/>
      <c r="B72" s="35" t="str">
        <f t="shared" si="9"/>
        <v>MiK</v>
      </c>
      <c r="C72" s="36">
        <f t="shared" si="7"/>
        <v>110</v>
      </c>
      <c r="D72" s="37">
        <f t="shared" si="7"/>
        <v>390</v>
      </c>
      <c r="E72" s="38">
        <f t="shared" si="8"/>
        <v>500</v>
      </c>
    </row>
    <row r="73" spans="1:5" ht="15" thickBot="1" x14ac:dyDescent="0.35">
      <c r="A73" s="32"/>
      <c r="B73" s="29" t="str">
        <f t="shared" si="9"/>
        <v>MiP</v>
      </c>
      <c r="C73" s="44">
        <f t="shared" si="7"/>
        <v>270</v>
      </c>
      <c r="D73" s="45">
        <f t="shared" si="7"/>
        <v>90</v>
      </c>
      <c r="E73" s="46">
        <f t="shared" si="8"/>
        <v>360</v>
      </c>
    </row>
    <row r="74" spans="1:5" ht="15.6" thickTop="1" thickBot="1" x14ac:dyDescent="0.35">
      <c r="A74" s="26" t="s">
        <v>68</v>
      </c>
      <c r="B74" s="24" t="s">
        <v>54</v>
      </c>
      <c r="C74" s="27">
        <f>SUM(C67:C73)</f>
        <v>2500</v>
      </c>
      <c r="D74" s="27">
        <f>SUM(D67:D73)</f>
        <v>7210</v>
      </c>
      <c r="E74" s="28">
        <f>SUM(E67:E73)</f>
        <v>9710</v>
      </c>
    </row>
    <row r="75" spans="1:5" x14ac:dyDescent="0.3">
      <c r="A75" s="82"/>
      <c r="B75" s="82"/>
      <c r="C75" s="82"/>
      <c r="D75" s="82"/>
      <c r="E75" s="82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01_Справочник_Товары</vt:lpstr>
      <vt:lpstr>02Тариф</vt:lpstr>
      <vt:lpstr>Motivation</vt:lpstr>
      <vt:lpstr>05Движение</vt:lpstr>
      <vt:lpstr>06НачисленияДни</vt:lpstr>
      <vt:lpstr>07НачисленияАртикул</vt:lpstr>
      <vt:lpstr>Счет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Пузанов Д.В.</cp:lastModifiedBy>
  <cp:lastPrinted>2026-09-16T09:40:48Z</cp:lastPrinted>
  <dcterms:created xsi:type="dcterms:W3CDTF">2026-09-15T10:33:34Z</dcterms:created>
  <dcterms:modified xsi:type="dcterms:W3CDTF">2026-09-22T07:43:28Z</dcterms:modified>
</cp:coreProperties>
</file>