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Пользователь\Downloads\"/>
    </mc:Choice>
  </mc:AlternateContent>
  <xr:revisionPtr revIDLastSave="0" documentId="8_{0FABEC61-85DE-424A-B1B6-96DFF2F5C9F8}" xr6:coauthVersionLast="36" xr6:coauthVersionMax="36" xr10:uidLastSave="{00000000-0000-0000-0000-000000000000}"/>
  <bookViews>
    <workbookView xWindow="0" yWindow="0" windowWidth="23040" windowHeight="9684" activeTab="6" xr2:uid="{00000000-000D-0000-FFFF-FFFF00000000}"/>
  </bookViews>
  <sheets>
    <sheet name="Настройки" sheetId="1" r:id="rId1"/>
    <sheet name="Широкая_таблица" sheetId="2" r:id="rId2"/>
    <sheet name="Обработка" sheetId="3" r:id="rId3"/>
    <sheet name="Фулфилмент" sheetId="4" r:id="rId4"/>
    <sheet name="Мотивация" sheetId="5" r:id="rId5"/>
    <sheet name="Хранение" sheetId="6" r:id="rId6"/>
    <sheet name="Свод" sheetId="7" r:id="rId7"/>
  </sheets>
  <definedNames>
    <definedName name="_xlnm._FilterDatabase" localSheetId="2" hidden="1">Обработка!$A$4:$I$116</definedName>
    <definedName name="_xlnm._FilterDatabase" localSheetId="3" hidden="1">Фулфилмент!$A$4:$J$53</definedName>
    <definedName name="_xlnm.Print_Titles" localSheetId="4">Мотивация!$4:$4</definedName>
    <definedName name="_xlnm.Print_Titles" localSheetId="0">Настройки!$4:$4</definedName>
    <definedName name="_xlnm.Print_Titles" localSheetId="2">Обработка!$4:$4</definedName>
    <definedName name="_xlnm.Print_Titles" localSheetId="6">Свод!$4:$4</definedName>
    <definedName name="_xlnm.Print_Titles" localSheetId="3">Фулфилмент!$4:$4</definedName>
    <definedName name="_xlnm.Print_Titles" localSheetId="5">Хранение!$4:$4</definedName>
    <definedName name="_xlnm.Print_Titles" localSheetId="1">Широкая_таблица!$4:$4</definedName>
  </definedNames>
  <calcPr calcId="191029"/>
</workbook>
</file>

<file path=xl/calcChain.xml><?xml version="1.0" encoding="utf-8"?>
<calcChain xmlns="http://schemas.openxmlformats.org/spreadsheetml/2006/main">
  <c r="C2" i="2" l="1"/>
  <c r="A2" i="2"/>
  <c r="D23" i="6"/>
  <c r="C23" i="6"/>
  <c r="B23" i="6"/>
  <c r="N22" i="6"/>
  <c r="L22" i="6"/>
  <c r="K22" i="6"/>
  <c r="J22" i="6"/>
  <c r="I22" i="6"/>
  <c r="H22" i="6"/>
  <c r="G22" i="6"/>
  <c r="F22" i="6"/>
  <c r="E22" i="6"/>
  <c r="N21" i="6"/>
  <c r="L21" i="6"/>
  <c r="K21" i="6"/>
  <c r="J21" i="6"/>
  <c r="I21" i="6"/>
  <c r="H21" i="6"/>
  <c r="G21" i="6"/>
  <c r="F21" i="6"/>
  <c r="E21" i="6"/>
  <c r="N20" i="6"/>
  <c r="L20" i="6"/>
  <c r="K20" i="6"/>
  <c r="J20" i="6"/>
  <c r="I20" i="6"/>
  <c r="H20" i="6"/>
  <c r="G20" i="6"/>
  <c r="F20" i="6"/>
  <c r="E20" i="6"/>
  <c r="N19" i="6"/>
  <c r="L19" i="6"/>
  <c r="K19" i="6"/>
  <c r="J19" i="6"/>
  <c r="I19" i="6"/>
  <c r="H19" i="6"/>
  <c r="G19" i="6"/>
  <c r="F19" i="6"/>
  <c r="E19" i="6"/>
  <c r="N18" i="6"/>
  <c r="L18" i="6"/>
  <c r="K18" i="6"/>
  <c r="J18" i="6"/>
  <c r="I18" i="6"/>
  <c r="H18" i="6"/>
  <c r="G18" i="6"/>
  <c r="F18" i="6"/>
  <c r="E18" i="6"/>
  <c r="N17" i="6"/>
  <c r="L17" i="6"/>
  <c r="K17" i="6"/>
  <c r="J17" i="6"/>
  <c r="I17" i="6"/>
  <c r="H17" i="6"/>
  <c r="G17" i="6"/>
  <c r="F17" i="6"/>
  <c r="E17" i="6"/>
  <c r="N16" i="6"/>
  <c r="L16" i="6"/>
  <c r="K16" i="6"/>
  <c r="J16" i="6"/>
  <c r="I16" i="6"/>
  <c r="H16" i="6"/>
  <c r="G16" i="6"/>
  <c r="F16" i="6"/>
  <c r="E16" i="6"/>
  <c r="N15" i="6"/>
  <c r="L15" i="6"/>
  <c r="K15" i="6"/>
  <c r="J15" i="6"/>
  <c r="I15" i="6"/>
  <c r="H15" i="6"/>
  <c r="G15" i="6"/>
  <c r="F15" i="6"/>
  <c r="E15" i="6"/>
  <c r="N14" i="6"/>
  <c r="L14" i="6"/>
  <c r="K14" i="6"/>
  <c r="J14" i="6"/>
  <c r="I14" i="6"/>
  <c r="H14" i="6"/>
  <c r="G14" i="6"/>
  <c r="F14" i="6"/>
  <c r="E14" i="6"/>
  <c r="N13" i="6"/>
  <c r="L13" i="6"/>
  <c r="K13" i="6"/>
  <c r="J13" i="6"/>
  <c r="I13" i="6"/>
  <c r="H13" i="6"/>
  <c r="G13" i="6"/>
  <c r="F13" i="6"/>
  <c r="E13" i="6"/>
  <c r="N12" i="6"/>
  <c r="L12" i="6"/>
  <c r="K12" i="6"/>
  <c r="J12" i="6"/>
  <c r="I12" i="6"/>
  <c r="H12" i="6"/>
  <c r="G12" i="6"/>
  <c r="F12" i="6"/>
  <c r="E12" i="6"/>
  <c r="N11" i="6"/>
  <c r="L11" i="6"/>
  <c r="K11" i="6"/>
  <c r="J11" i="6"/>
  <c r="I11" i="6"/>
  <c r="H11" i="6"/>
  <c r="G11" i="6"/>
  <c r="F11" i="6"/>
  <c r="E11" i="6"/>
  <c r="N10" i="6"/>
  <c r="L10" i="6"/>
  <c r="K10" i="6"/>
  <c r="J10" i="6"/>
  <c r="I10" i="6"/>
  <c r="H10" i="6"/>
  <c r="G10" i="6"/>
  <c r="F10" i="6"/>
  <c r="E10" i="6"/>
  <c r="N9" i="6"/>
  <c r="L9" i="6"/>
  <c r="K9" i="6"/>
  <c r="J9" i="6"/>
  <c r="I9" i="6"/>
  <c r="H9" i="6"/>
  <c r="G9" i="6"/>
  <c r="F9" i="6"/>
  <c r="E9" i="6"/>
  <c r="N8" i="6"/>
  <c r="L8" i="6"/>
  <c r="K8" i="6"/>
  <c r="J8" i="6"/>
  <c r="I8" i="6"/>
  <c r="H8" i="6"/>
  <c r="G8" i="6"/>
  <c r="F8" i="6"/>
  <c r="E8" i="6"/>
  <c r="N7" i="6"/>
  <c r="L7" i="6"/>
  <c r="K7" i="6"/>
  <c r="J7" i="6"/>
  <c r="I7" i="6"/>
  <c r="H7" i="6"/>
  <c r="G7" i="6"/>
  <c r="F7" i="6"/>
  <c r="E7" i="6"/>
  <c r="N6" i="6"/>
  <c r="L6" i="6"/>
  <c r="K6" i="6"/>
  <c r="J6" i="6"/>
  <c r="I6" i="6"/>
  <c r="H6" i="6"/>
  <c r="G6" i="6"/>
  <c r="F6" i="6"/>
  <c r="E6" i="6"/>
  <c r="N5" i="6"/>
  <c r="L5" i="6"/>
  <c r="K5" i="6"/>
  <c r="J5" i="6"/>
  <c r="I5" i="6"/>
  <c r="H5" i="6"/>
  <c r="G5" i="6"/>
  <c r="F5" i="6"/>
  <c r="E5" i="6"/>
  <c r="H116" i="3"/>
  <c r="G116" i="3"/>
  <c r="F116" i="3"/>
  <c r="E116" i="3"/>
  <c r="C116" i="3"/>
  <c r="B116" i="3"/>
  <c r="A116" i="3"/>
  <c r="H115" i="3"/>
  <c r="G115" i="3"/>
  <c r="F115" i="3"/>
  <c r="E115" i="3"/>
  <c r="C115" i="3"/>
  <c r="B115" i="3"/>
  <c r="A115" i="3"/>
  <c r="H114" i="3"/>
  <c r="G114" i="3"/>
  <c r="F114" i="3"/>
  <c r="E114" i="3"/>
  <c r="C114" i="3"/>
  <c r="B114" i="3"/>
  <c r="A114" i="3"/>
  <c r="H113" i="3"/>
  <c r="G113" i="3"/>
  <c r="F113" i="3"/>
  <c r="E113" i="3"/>
  <c r="C113" i="3"/>
  <c r="B113" i="3"/>
  <c r="A113" i="3"/>
  <c r="H112" i="3"/>
  <c r="G112" i="3"/>
  <c r="F112" i="3"/>
  <c r="E112" i="3"/>
  <c r="C112" i="3"/>
  <c r="B112" i="3"/>
  <c r="A112" i="3"/>
  <c r="H111" i="3"/>
  <c r="G111" i="3"/>
  <c r="F111" i="3"/>
  <c r="E111" i="3"/>
  <c r="C111" i="3"/>
  <c r="B111" i="3"/>
  <c r="A111" i="3"/>
  <c r="H110" i="3"/>
  <c r="G110" i="3"/>
  <c r="F110" i="3"/>
  <c r="E110" i="3"/>
  <c r="C110" i="3"/>
  <c r="B110" i="3"/>
  <c r="A110" i="3"/>
  <c r="H109" i="3"/>
  <c r="G109" i="3"/>
  <c r="F109" i="3"/>
  <c r="E109" i="3"/>
  <c r="C109" i="3"/>
  <c r="B109" i="3"/>
  <c r="A109" i="3"/>
  <c r="H108" i="3"/>
  <c r="G108" i="3"/>
  <c r="F108" i="3"/>
  <c r="E108" i="3"/>
  <c r="C108" i="3"/>
  <c r="B108" i="3"/>
  <c r="A108" i="3"/>
  <c r="H107" i="3"/>
  <c r="G107" i="3"/>
  <c r="F107" i="3"/>
  <c r="E107" i="3"/>
  <c r="C107" i="3"/>
  <c r="B107" i="3"/>
  <c r="A107" i="3"/>
  <c r="H106" i="3"/>
  <c r="G106" i="3"/>
  <c r="F106" i="3"/>
  <c r="E106" i="3"/>
  <c r="C106" i="3"/>
  <c r="B106" i="3"/>
  <c r="A106" i="3"/>
  <c r="H105" i="3"/>
  <c r="G105" i="3"/>
  <c r="F105" i="3"/>
  <c r="E105" i="3"/>
  <c r="C105" i="3"/>
  <c r="B105" i="3"/>
  <c r="A105" i="3"/>
  <c r="H104" i="3"/>
  <c r="G104" i="3"/>
  <c r="F104" i="3"/>
  <c r="E104" i="3"/>
  <c r="C104" i="3"/>
  <c r="B104" i="3"/>
  <c r="A104" i="3"/>
  <c r="H103" i="3"/>
  <c r="G103" i="3"/>
  <c r="F103" i="3"/>
  <c r="E103" i="3"/>
  <c r="C103" i="3"/>
  <c r="B103" i="3"/>
  <c r="A103" i="3"/>
  <c r="H102" i="3"/>
  <c r="G102" i="3"/>
  <c r="F102" i="3"/>
  <c r="E53" i="5" s="1"/>
  <c r="E102" i="3"/>
  <c r="C102" i="3"/>
  <c r="B102" i="3"/>
  <c r="B53" i="5" s="1"/>
  <c r="A102" i="3"/>
  <c r="H101" i="3"/>
  <c r="G101" i="3"/>
  <c r="F101" i="3"/>
  <c r="E101" i="3"/>
  <c r="C52" i="4" s="1"/>
  <c r="C101" i="3"/>
  <c r="B101" i="3"/>
  <c r="B52" i="5" s="1"/>
  <c r="A101" i="3"/>
  <c r="H100" i="3"/>
  <c r="G100" i="3"/>
  <c r="F100" i="3"/>
  <c r="E100" i="3"/>
  <c r="C100" i="3"/>
  <c r="B51" i="4" s="1"/>
  <c r="B100" i="3"/>
  <c r="B51" i="5" s="1"/>
  <c r="A100" i="3"/>
  <c r="H99" i="3"/>
  <c r="G99" i="3"/>
  <c r="F99" i="3"/>
  <c r="E99" i="3"/>
  <c r="C99" i="3"/>
  <c r="B99" i="3"/>
  <c r="B50" i="5" s="1"/>
  <c r="A99" i="3"/>
  <c r="A50" i="5" s="1"/>
  <c r="H98" i="3"/>
  <c r="E49" i="4" s="1"/>
  <c r="G98" i="3"/>
  <c r="F98" i="3"/>
  <c r="E98" i="3"/>
  <c r="C98" i="3"/>
  <c r="B98" i="3"/>
  <c r="B49" i="5" s="1"/>
  <c r="A98" i="3"/>
  <c r="H97" i="3"/>
  <c r="F48" i="5" s="1"/>
  <c r="G97" i="3"/>
  <c r="F97" i="3"/>
  <c r="E97" i="3"/>
  <c r="C97" i="3"/>
  <c r="B97" i="3"/>
  <c r="B48" i="5" s="1"/>
  <c r="A97" i="3"/>
  <c r="A48" i="4" s="1"/>
  <c r="H96" i="3"/>
  <c r="G96" i="3"/>
  <c r="F96" i="3"/>
  <c r="E96" i="3"/>
  <c r="C96" i="3"/>
  <c r="B96" i="3"/>
  <c r="B47" i="5" s="1"/>
  <c r="A96" i="3"/>
  <c r="H95" i="3"/>
  <c r="E46" i="4" s="1"/>
  <c r="G95" i="3"/>
  <c r="F95" i="3"/>
  <c r="E95" i="3"/>
  <c r="C95" i="3"/>
  <c r="C46" i="5" s="1"/>
  <c r="B95" i="3"/>
  <c r="B46" i="5" s="1"/>
  <c r="A95" i="3"/>
  <c r="H94" i="3"/>
  <c r="G94" i="3"/>
  <c r="F94" i="3"/>
  <c r="D45" i="4" s="1"/>
  <c r="E94" i="3"/>
  <c r="C94" i="3"/>
  <c r="C45" i="5" s="1"/>
  <c r="B94" i="3"/>
  <c r="B45" i="5" s="1"/>
  <c r="A94" i="3"/>
  <c r="A45" i="4" s="1"/>
  <c r="H93" i="3"/>
  <c r="G93" i="3"/>
  <c r="F93" i="3"/>
  <c r="E93" i="3"/>
  <c r="C93" i="3"/>
  <c r="B93" i="3"/>
  <c r="B44" i="5" s="1"/>
  <c r="A93" i="3"/>
  <c r="H92" i="3"/>
  <c r="G92" i="3"/>
  <c r="F92" i="3"/>
  <c r="E92" i="3"/>
  <c r="C92" i="3"/>
  <c r="B92" i="3"/>
  <c r="B43" i="5" s="1"/>
  <c r="A92" i="3"/>
  <c r="H91" i="3"/>
  <c r="G91" i="3"/>
  <c r="F91" i="3"/>
  <c r="E91" i="3"/>
  <c r="C91" i="3"/>
  <c r="B91" i="3"/>
  <c r="B42" i="5" s="1"/>
  <c r="A91" i="3"/>
  <c r="A42" i="5" s="1"/>
  <c r="H90" i="3"/>
  <c r="G90" i="3"/>
  <c r="F90" i="3"/>
  <c r="E90" i="3"/>
  <c r="D41" i="5" s="1"/>
  <c r="C90" i="3"/>
  <c r="B90" i="3"/>
  <c r="B41" i="5" s="1"/>
  <c r="A90" i="3"/>
  <c r="H89" i="3"/>
  <c r="F40" i="5" s="1"/>
  <c r="G89" i="3"/>
  <c r="F89" i="3"/>
  <c r="E40" i="5" s="1"/>
  <c r="E89" i="3"/>
  <c r="C89" i="3"/>
  <c r="B89" i="3"/>
  <c r="B40" i="5" s="1"/>
  <c r="A89" i="3"/>
  <c r="H88" i="3"/>
  <c r="G88" i="3"/>
  <c r="F88" i="3"/>
  <c r="E88" i="3"/>
  <c r="C88" i="3"/>
  <c r="B88" i="3"/>
  <c r="B39" i="5" s="1"/>
  <c r="A88" i="3"/>
  <c r="H87" i="3"/>
  <c r="G87" i="3"/>
  <c r="F87" i="3"/>
  <c r="E87" i="3"/>
  <c r="C87" i="3"/>
  <c r="C38" i="5" s="1"/>
  <c r="B87" i="3"/>
  <c r="B38" i="5" s="1"/>
  <c r="A87" i="3"/>
  <c r="H86" i="3"/>
  <c r="G86" i="3"/>
  <c r="F86" i="3"/>
  <c r="E37" i="5" s="1"/>
  <c r="E86" i="3"/>
  <c r="C86" i="3"/>
  <c r="C37" i="5" s="1"/>
  <c r="B86" i="3"/>
  <c r="B37" i="5" s="1"/>
  <c r="A86" i="3"/>
  <c r="H85" i="3"/>
  <c r="G85" i="3"/>
  <c r="F85" i="3"/>
  <c r="E85" i="3"/>
  <c r="C36" i="4" s="1"/>
  <c r="C85" i="3"/>
  <c r="B85" i="3"/>
  <c r="B36" i="5" s="1"/>
  <c r="A85" i="3"/>
  <c r="H84" i="3"/>
  <c r="G84" i="3"/>
  <c r="F84" i="3"/>
  <c r="E84" i="3"/>
  <c r="C84" i="3"/>
  <c r="B35" i="4" s="1"/>
  <c r="B84" i="3"/>
  <c r="B35" i="5" s="1"/>
  <c r="A84" i="3"/>
  <c r="H83" i="3"/>
  <c r="G83" i="3"/>
  <c r="F83" i="3"/>
  <c r="E83" i="3"/>
  <c r="C83" i="3"/>
  <c r="B83" i="3"/>
  <c r="B34" i="5" s="1"/>
  <c r="A83" i="3"/>
  <c r="A34" i="5" s="1"/>
  <c r="H82" i="3"/>
  <c r="E33" i="4" s="1"/>
  <c r="G82" i="3"/>
  <c r="F82" i="3"/>
  <c r="E82" i="3"/>
  <c r="D33" i="5" s="1"/>
  <c r="C82" i="3"/>
  <c r="B82" i="3"/>
  <c r="B33" i="5" s="1"/>
  <c r="A82" i="3"/>
  <c r="H81" i="3"/>
  <c r="F32" i="5" s="1"/>
  <c r="G81" i="3"/>
  <c r="F81" i="3"/>
  <c r="E32" i="5" s="1"/>
  <c r="E81" i="3"/>
  <c r="C81" i="3"/>
  <c r="B81" i="3"/>
  <c r="B32" i="5" s="1"/>
  <c r="A81" i="3"/>
  <c r="A32" i="4" s="1"/>
  <c r="H80" i="3"/>
  <c r="G80" i="3"/>
  <c r="F80" i="3"/>
  <c r="E80" i="3"/>
  <c r="C80" i="3"/>
  <c r="B80" i="3"/>
  <c r="B31" i="5" s="1"/>
  <c r="A80" i="3"/>
  <c r="H79" i="3"/>
  <c r="E30" i="4" s="1"/>
  <c r="G79" i="3"/>
  <c r="F79" i="3"/>
  <c r="E79" i="3"/>
  <c r="C79" i="3"/>
  <c r="C30" i="5" s="1"/>
  <c r="B79" i="3"/>
  <c r="B30" i="5" s="1"/>
  <c r="A79" i="3"/>
  <c r="H78" i="3"/>
  <c r="G78" i="3"/>
  <c r="F78" i="3"/>
  <c r="E29" i="5" s="1"/>
  <c r="E78" i="3"/>
  <c r="C78" i="3"/>
  <c r="C29" i="5" s="1"/>
  <c r="B78" i="3"/>
  <c r="B29" i="5" s="1"/>
  <c r="A78" i="3"/>
  <c r="A29" i="4" s="1"/>
  <c r="H77" i="3"/>
  <c r="G77" i="3"/>
  <c r="F77" i="3"/>
  <c r="E77" i="3"/>
  <c r="C77" i="3"/>
  <c r="B77" i="3"/>
  <c r="B28" i="5" s="1"/>
  <c r="A77" i="3"/>
  <c r="H76" i="3"/>
  <c r="G76" i="3"/>
  <c r="F76" i="3"/>
  <c r="E76" i="3"/>
  <c r="C76" i="3"/>
  <c r="B76" i="3"/>
  <c r="B27" i="5" s="1"/>
  <c r="A76" i="3"/>
  <c r="H75" i="3"/>
  <c r="G75" i="3"/>
  <c r="F75" i="3"/>
  <c r="E75" i="3"/>
  <c r="C75" i="3"/>
  <c r="B75" i="3"/>
  <c r="B26" i="5" s="1"/>
  <c r="A75" i="3"/>
  <c r="A26" i="5" s="1"/>
  <c r="H74" i="3"/>
  <c r="G74" i="3"/>
  <c r="F74" i="3"/>
  <c r="E74" i="3"/>
  <c r="D25" i="5" s="1"/>
  <c r="C74" i="3"/>
  <c r="B74" i="3"/>
  <c r="B25" i="5" s="1"/>
  <c r="A74" i="3"/>
  <c r="H73" i="3"/>
  <c r="F24" i="5" s="1"/>
  <c r="G73" i="3"/>
  <c r="F73" i="3"/>
  <c r="E24" i="5" s="1"/>
  <c r="E73" i="3"/>
  <c r="C73" i="3"/>
  <c r="B73" i="3"/>
  <c r="B24" i="5" s="1"/>
  <c r="A73" i="3"/>
  <c r="H72" i="3"/>
  <c r="G72" i="3"/>
  <c r="F72" i="3"/>
  <c r="E72" i="3"/>
  <c r="C72" i="3"/>
  <c r="B72" i="3"/>
  <c r="B23" i="5" s="1"/>
  <c r="A72" i="3"/>
  <c r="H71" i="3"/>
  <c r="G71" i="3"/>
  <c r="F71" i="3"/>
  <c r="E71" i="3"/>
  <c r="C71" i="3"/>
  <c r="C22" i="5" s="1"/>
  <c r="B71" i="3"/>
  <c r="B22" i="5" s="1"/>
  <c r="A71" i="3"/>
  <c r="H70" i="3"/>
  <c r="G70" i="3"/>
  <c r="F70" i="3"/>
  <c r="E21" i="5" s="1"/>
  <c r="E70" i="3"/>
  <c r="C70" i="3"/>
  <c r="C21" i="5" s="1"/>
  <c r="B70" i="3"/>
  <c r="B21" i="5" s="1"/>
  <c r="A70" i="3"/>
  <c r="H69" i="3"/>
  <c r="G69" i="3"/>
  <c r="F69" i="3"/>
  <c r="E69" i="3"/>
  <c r="C20" i="4" s="1"/>
  <c r="C69" i="3"/>
  <c r="B69" i="3"/>
  <c r="B20" i="5" s="1"/>
  <c r="A69" i="3"/>
  <c r="H68" i="3"/>
  <c r="G68" i="3"/>
  <c r="F68" i="3"/>
  <c r="E68" i="3"/>
  <c r="C68" i="3"/>
  <c r="B19" i="4" s="1"/>
  <c r="B68" i="3"/>
  <c r="B19" i="5" s="1"/>
  <c r="A68" i="3"/>
  <c r="H67" i="3"/>
  <c r="G67" i="3"/>
  <c r="F67" i="3"/>
  <c r="E67" i="3"/>
  <c r="C67" i="3"/>
  <c r="B67" i="3"/>
  <c r="B18" i="5" s="1"/>
  <c r="A67" i="3"/>
  <c r="A18" i="5" s="1"/>
  <c r="H66" i="3"/>
  <c r="E17" i="4" s="1"/>
  <c r="G66" i="3"/>
  <c r="F66" i="3"/>
  <c r="E66" i="3"/>
  <c r="D17" i="5" s="1"/>
  <c r="C66" i="3"/>
  <c r="B66" i="3"/>
  <c r="B17" i="5" s="1"/>
  <c r="A66" i="3"/>
  <c r="H65" i="3"/>
  <c r="F16" i="5" s="1"/>
  <c r="G65" i="3"/>
  <c r="F65" i="3"/>
  <c r="E16" i="5" s="1"/>
  <c r="E65" i="3"/>
  <c r="C65" i="3"/>
  <c r="B65" i="3"/>
  <c r="B16" i="5" s="1"/>
  <c r="A65" i="3"/>
  <c r="A16" i="4" s="1"/>
  <c r="H64" i="3"/>
  <c r="G64" i="3"/>
  <c r="F64" i="3"/>
  <c r="E64" i="3"/>
  <c r="C64" i="3"/>
  <c r="B64" i="3"/>
  <c r="B15" i="5" s="1"/>
  <c r="A64" i="3"/>
  <c r="H63" i="3"/>
  <c r="E14" i="4" s="1"/>
  <c r="G63" i="3"/>
  <c r="F63" i="3"/>
  <c r="E63" i="3"/>
  <c r="C63" i="3"/>
  <c r="C14" i="5" s="1"/>
  <c r="B63" i="3"/>
  <c r="B14" i="5" s="1"/>
  <c r="A63" i="3"/>
  <c r="H62" i="3"/>
  <c r="G62" i="3"/>
  <c r="F62" i="3"/>
  <c r="E13" i="5" s="1"/>
  <c r="E62" i="3"/>
  <c r="C62" i="3"/>
  <c r="C13" i="5" s="1"/>
  <c r="B62" i="3"/>
  <c r="B13" i="5" s="1"/>
  <c r="A62" i="3"/>
  <c r="A13" i="4" s="1"/>
  <c r="H61" i="3"/>
  <c r="G61" i="3"/>
  <c r="F61" i="3"/>
  <c r="E61" i="3"/>
  <c r="C61" i="3"/>
  <c r="B61" i="3"/>
  <c r="B12" i="5" s="1"/>
  <c r="A61" i="3"/>
  <c r="H60" i="3"/>
  <c r="G60" i="3"/>
  <c r="F60" i="3"/>
  <c r="E60" i="3"/>
  <c r="C60" i="3"/>
  <c r="B60" i="3"/>
  <c r="B11" i="5" s="1"/>
  <c r="A60" i="3"/>
  <c r="H59" i="3"/>
  <c r="G59" i="3"/>
  <c r="F59" i="3"/>
  <c r="E59" i="3"/>
  <c r="C59" i="3"/>
  <c r="B59" i="3"/>
  <c r="B10" i="5" s="1"/>
  <c r="A59" i="3"/>
  <c r="A10" i="5" s="1"/>
  <c r="H58" i="3"/>
  <c r="F9" i="5" s="1"/>
  <c r="G58" i="3"/>
  <c r="F58" i="3"/>
  <c r="E58" i="3"/>
  <c r="D9" i="5" s="1"/>
  <c r="C58" i="3"/>
  <c r="B58" i="3"/>
  <c r="B9" i="5" s="1"/>
  <c r="A58" i="3"/>
  <c r="H57" i="3"/>
  <c r="F8" i="5" s="1"/>
  <c r="G57" i="3"/>
  <c r="F57" i="3"/>
  <c r="E8" i="5" s="1"/>
  <c r="E57" i="3"/>
  <c r="C57" i="3"/>
  <c r="C8" i="5" s="1"/>
  <c r="B57" i="3"/>
  <c r="B8" i="5" s="1"/>
  <c r="A57" i="3"/>
  <c r="A8" i="5" s="1"/>
  <c r="H56" i="3"/>
  <c r="G56" i="3"/>
  <c r="F56" i="3"/>
  <c r="E56" i="3"/>
  <c r="C56" i="3"/>
  <c r="B56" i="3"/>
  <c r="B7" i="5" s="1"/>
  <c r="A56" i="3"/>
  <c r="A7" i="5" s="1"/>
  <c r="H55" i="3"/>
  <c r="F6" i="5" s="1"/>
  <c r="G55" i="3"/>
  <c r="F55" i="3"/>
  <c r="E55" i="3"/>
  <c r="D6" i="5" s="1"/>
  <c r="C55" i="3"/>
  <c r="C6" i="5" s="1"/>
  <c r="B55" i="3"/>
  <c r="B6" i="5" s="1"/>
  <c r="A55" i="3"/>
  <c r="H54" i="3"/>
  <c r="G54" i="3"/>
  <c r="F54" i="3"/>
  <c r="E5" i="5" s="1"/>
  <c r="E54" i="3"/>
  <c r="C54" i="3"/>
  <c r="C5" i="5" s="1"/>
  <c r="B54" i="3"/>
  <c r="B5" i="5" s="1"/>
  <c r="A54" i="3"/>
  <c r="A5" i="5" s="1"/>
  <c r="H53" i="3"/>
  <c r="G53" i="3"/>
  <c r="F53" i="3"/>
  <c r="E53" i="3"/>
  <c r="C53" i="3"/>
  <c r="B53" i="3"/>
  <c r="A53" i="3"/>
  <c r="H52" i="3"/>
  <c r="G52" i="3"/>
  <c r="F52" i="3"/>
  <c r="E52" i="3"/>
  <c r="C52" i="3"/>
  <c r="B52" i="3"/>
  <c r="A52" i="3"/>
  <c r="H51" i="3"/>
  <c r="G51" i="3"/>
  <c r="F51" i="3"/>
  <c r="E51" i="3"/>
  <c r="C51" i="3"/>
  <c r="B51" i="3"/>
  <c r="A51" i="3"/>
  <c r="H50" i="3"/>
  <c r="G50" i="3"/>
  <c r="F50" i="3"/>
  <c r="E50" i="3"/>
  <c r="C50" i="3"/>
  <c r="B50" i="3"/>
  <c r="A50" i="3"/>
  <c r="H49" i="3"/>
  <c r="G49" i="3"/>
  <c r="F49" i="3"/>
  <c r="E49" i="3"/>
  <c r="C49" i="3"/>
  <c r="B49" i="3"/>
  <c r="A49" i="3"/>
  <c r="H48" i="3"/>
  <c r="G48" i="3"/>
  <c r="F48" i="3"/>
  <c r="E48" i="3"/>
  <c r="C48" i="3"/>
  <c r="B48" i="3"/>
  <c r="A48" i="3"/>
  <c r="H47" i="3"/>
  <c r="G47" i="3"/>
  <c r="F47" i="3"/>
  <c r="E47" i="3"/>
  <c r="C47" i="3"/>
  <c r="B47" i="3"/>
  <c r="A47" i="3"/>
  <c r="H46" i="3"/>
  <c r="G46" i="3"/>
  <c r="F46" i="3"/>
  <c r="E46" i="3"/>
  <c r="C46" i="3"/>
  <c r="B46" i="3"/>
  <c r="A46" i="3"/>
  <c r="H45" i="3"/>
  <c r="G45" i="3"/>
  <c r="F45" i="3"/>
  <c r="E45" i="3"/>
  <c r="C45" i="3"/>
  <c r="B45" i="3"/>
  <c r="A45" i="3"/>
  <c r="H44" i="3"/>
  <c r="G44" i="3"/>
  <c r="F44" i="3"/>
  <c r="E44" i="3"/>
  <c r="C44" i="3"/>
  <c r="B44" i="3"/>
  <c r="A44" i="3"/>
  <c r="H43" i="3"/>
  <c r="G43" i="3"/>
  <c r="F43" i="3"/>
  <c r="E43" i="3"/>
  <c r="C43" i="3"/>
  <c r="B43" i="3"/>
  <c r="A43" i="3"/>
  <c r="H42" i="3"/>
  <c r="G42" i="3"/>
  <c r="F42" i="3"/>
  <c r="E42" i="3"/>
  <c r="C42" i="3"/>
  <c r="B42" i="3"/>
  <c r="A42" i="3"/>
  <c r="H41" i="3"/>
  <c r="G41" i="3"/>
  <c r="F41" i="3"/>
  <c r="E41" i="3"/>
  <c r="C41" i="3"/>
  <c r="B41" i="3"/>
  <c r="A41" i="3"/>
  <c r="H40" i="3"/>
  <c r="G40" i="3"/>
  <c r="F40" i="3"/>
  <c r="E40" i="3"/>
  <c r="C40" i="3"/>
  <c r="B40" i="3"/>
  <c r="A40" i="3"/>
  <c r="H39" i="3"/>
  <c r="G39" i="3"/>
  <c r="F39" i="3"/>
  <c r="E39" i="3"/>
  <c r="C39" i="3"/>
  <c r="B39" i="3"/>
  <c r="A39" i="3"/>
  <c r="H38" i="3"/>
  <c r="G38" i="3"/>
  <c r="F38" i="3"/>
  <c r="E38" i="3"/>
  <c r="C38" i="3"/>
  <c r="B38" i="3"/>
  <c r="A38" i="3"/>
  <c r="H37" i="3"/>
  <c r="G37" i="3"/>
  <c r="F37" i="3"/>
  <c r="E37" i="3"/>
  <c r="C37" i="3"/>
  <c r="B37" i="3"/>
  <c r="A37" i="3"/>
  <c r="H36" i="3"/>
  <c r="G36" i="3"/>
  <c r="F36" i="3"/>
  <c r="E36" i="3"/>
  <c r="C36" i="3"/>
  <c r="B36" i="3"/>
  <c r="A36" i="3"/>
  <c r="H35" i="3"/>
  <c r="G35" i="3"/>
  <c r="F35" i="3"/>
  <c r="E35" i="3"/>
  <c r="C35" i="3"/>
  <c r="B35" i="3"/>
  <c r="A35" i="3"/>
  <c r="H34" i="3"/>
  <c r="G34" i="3"/>
  <c r="F34" i="3"/>
  <c r="E34" i="3"/>
  <c r="C34" i="3"/>
  <c r="B34" i="3"/>
  <c r="A34" i="3"/>
  <c r="H33" i="3"/>
  <c r="G33" i="3"/>
  <c r="F33" i="3"/>
  <c r="E33" i="3"/>
  <c r="C33" i="3"/>
  <c r="B33" i="3"/>
  <c r="A33" i="3"/>
  <c r="H32" i="3"/>
  <c r="G32" i="3"/>
  <c r="F32" i="3"/>
  <c r="E32" i="3"/>
  <c r="C32" i="3"/>
  <c r="B32" i="3"/>
  <c r="A32" i="3"/>
  <c r="H31" i="3"/>
  <c r="G31" i="3"/>
  <c r="F31" i="3"/>
  <c r="E31" i="3"/>
  <c r="C31" i="3"/>
  <c r="B31" i="3"/>
  <c r="A31" i="3"/>
  <c r="H30" i="3"/>
  <c r="G30" i="3"/>
  <c r="F30" i="3"/>
  <c r="E30" i="3"/>
  <c r="C30" i="3"/>
  <c r="B30" i="3"/>
  <c r="A30" i="3"/>
  <c r="H29" i="3"/>
  <c r="G29" i="3"/>
  <c r="F29" i="3"/>
  <c r="E29" i="3"/>
  <c r="C29" i="3"/>
  <c r="B29" i="3"/>
  <c r="A29" i="3"/>
  <c r="H28" i="3"/>
  <c r="G28" i="3"/>
  <c r="F28" i="3"/>
  <c r="E28" i="3"/>
  <c r="C28" i="3"/>
  <c r="B28" i="3"/>
  <c r="A28" i="3"/>
  <c r="H27" i="3"/>
  <c r="G27" i="3"/>
  <c r="F27" i="3"/>
  <c r="E27" i="3"/>
  <c r="C27" i="3"/>
  <c r="B27" i="3"/>
  <c r="A27" i="3"/>
  <c r="H26" i="3"/>
  <c r="G26" i="3"/>
  <c r="F26" i="3"/>
  <c r="E26" i="3"/>
  <c r="C26" i="3"/>
  <c r="B26" i="3"/>
  <c r="A26" i="3"/>
  <c r="H25" i="3"/>
  <c r="G25" i="3"/>
  <c r="F25" i="3"/>
  <c r="E25" i="3"/>
  <c r="C25" i="3"/>
  <c r="B25" i="3"/>
  <c r="A25" i="3"/>
  <c r="H24" i="3"/>
  <c r="G24" i="3"/>
  <c r="F24" i="3"/>
  <c r="E24" i="3"/>
  <c r="C24" i="3"/>
  <c r="B24" i="3"/>
  <c r="A24" i="3"/>
  <c r="H23" i="3"/>
  <c r="G23" i="3"/>
  <c r="F23" i="3"/>
  <c r="E23" i="3"/>
  <c r="C23" i="3"/>
  <c r="B23" i="3"/>
  <c r="A23" i="3"/>
  <c r="H22" i="3"/>
  <c r="G22" i="3"/>
  <c r="F22" i="3"/>
  <c r="E22" i="3"/>
  <c r="C22" i="3"/>
  <c r="B22" i="3"/>
  <c r="A22" i="3"/>
  <c r="H21" i="3"/>
  <c r="G21" i="3"/>
  <c r="F21" i="3"/>
  <c r="E21" i="3"/>
  <c r="C21" i="3"/>
  <c r="B21" i="3"/>
  <c r="A21" i="3"/>
  <c r="H20" i="3"/>
  <c r="G20" i="3"/>
  <c r="F20" i="3"/>
  <c r="E20" i="3"/>
  <c r="C20" i="3"/>
  <c r="B20" i="3"/>
  <c r="A20" i="3"/>
  <c r="H19" i="3"/>
  <c r="G19" i="3"/>
  <c r="F19" i="3"/>
  <c r="E19" i="3"/>
  <c r="C19" i="3"/>
  <c r="B19" i="3"/>
  <c r="A19" i="3"/>
  <c r="H18" i="3"/>
  <c r="G18" i="3"/>
  <c r="F18" i="3"/>
  <c r="E18" i="3"/>
  <c r="C18" i="3"/>
  <c r="B18" i="3"/>
  <c r="A18" i="3"/>
  <c r="H17" i="3"/>
  <c r="G17" i="3"/>
  <c r="F17" i="3"/>
  <c r="E17" i="3"/>
  <c r="C17" i="3"/>
  <c r="B17" i="3"/>
  <c r="A17" i="3"/>
  <c r="H16" i="3"/>
  <c r="G16" i="3"/>
  <c r="F16" i="3"/>
  <c r="E16" i="3"/>
  <c r="C16" i="3"/>
  <c r="B16" i="3"/>
  <c r="A16" i="3"/>
  <c r="H15" i="3"/>
  <c r="G15" i="3"/>
  <c r="F15" i="3"/>
  <c r="E15" i="3"/>
  <c r="C15" i="3"/>
  <c r="B15" i="3"/>
  <c r="A15" i="3"/>
  <c r="H14" i="3"/>
  <c r="G14" i="3"/>
  <c r="F14" i="3"/>
  <c r="E14" i="3"/>
  <c r="C14" i="3"/>
  <c r="B14" i="3"/>
  <c r="A14" i="3"/>
  <c r="H13" i="3"/>
  <c r="G13" i="3"/>
  <c r="F13" i="3"/>
  <c r="E13" i="3"/>
  <c r="C13" i="3"/>
  <c r="B13" i="3"/>
  <c r="A13" i="3"/>
  <c r="H12" i="3"/>
  <c r="G12" i="3"/>
  <c r="F12" i="3"/>
  <c r="E12" i="3"/>
  <c r="C12" i="3"/>
  <c r="B12" i="3"/>
  <c r="A12" i="3"/>
  <c r="H11" i="3"/>
  <c r="G11" i="3"/>
  <c r="F11" i="3"/>
  <c r="E11" i="3"/>
  <c r="D11" i="3"/>
  <c r="C11" i="3"/>
  <c r="B11" i="3"/>
  <c r="A11" i="3"/>
  <c r="H10" i="3"/>
  <c r="G10" i="3"/>
  <c r="F10" i="3"/>
  <c r="E10" i="3"/>
  <c r="D10" i="3"/>
  <c r="C10" i="3"/>
  <c r="B10" i="3"/>
  <c r="A10" i="3"/>
  <c r="H9" i="3"/>
  <c r="G9" i="3"/>
  <c r="F9" i="3"/>
  <c r="E9" i="3"/>
  <c r="D9" i="3"/>
  <c r="C9" i="3"/>
  <c r="B9" i="3"/>
  <c r="A9" i="3"/>
  <c r="H8" i="3"/>
  <c r="G8" i="3"/>
  <c r="F8" i="3"/>
  <c r="E8" i="3"/>
  <c r="D8" i="3"/>
  <c r="C8" i="3"/>
  <c r="B8" i="3"/>
  <c r="A8" i="3"/>
  <c r="H7" i="3"/>
  <c r="G7" i="3"/>
  <c r="F7" i="3"/>
  <c r="E7" i="3"/>
  <c r="D7" i="3"/>
  <c r="C7" i="3"/>
  <c r="B7" i="3"/>
  <c r="A7" i="3"/>
  <c r="H6" i="3"/>
  <c r="G6" i="3"/>
  <c r="F6" i="3"/>
  <c r="E6" i="3"/>
  <c r="D6" i="3"/>
  <c r="C6" i="3"/>
  <c r="B6" i="3"/>
  <c r="A6" i="3"/>
  <c r="H5" i="3"/>
  <c r="G5" i="3"/>
  <c r="F5" i="3"/>
  <c r="E5" i="3"/>
  <c r="D5" i="3"/>
  <c r="C5" i="3"/>
  <c r="B5" i="3"/>
  <c r="A5" i="3"/>
  <c r="AZ6" i="2"/>
  <c r="I11" i="3" s="1"/>
  <c r="AS6" i="2"/>
  <c r="AM7" i="2" s="1"/>
  <c r="AL6" i="2"/>
  <c r="I9" i="3" s="1"/>
  <c r="AE6" i="2"/>
  <c r="I8" i="3" s="1"/>
  <c r="X6" i="2"/>
  <c r="R7" i="2" s="1"/>
  <c r="Q6" i="2"/>
  <c r="I6" i="3" s="1"/>
  <c r="J6" i="2"/>
  <c r="I5" i="3" s="1"/>
  <c r="M17" i="6" l="1"/>
  <c r="O17" i="6" s="1"/>
  <c r="AF7" i="2"/>
  <c r="D16" i="3" s="1"/>
  <c r="K23" i="6"/>
  <c r="M10" i="6"/>
  <c r="O10" i="6" s="1"/>
  <c r="AT7" i="2"/>
  <c r="D18" i="3" s="1"/>
  <c r="M12" i="6"/>
  <c r="O12" i="6" s="1"/>
  <c r="D17" i="3"/>
  <c r="AS7" i="2"/>
  <c r="I17" i="3" s="1"/>
  <c r="I10" i="3"/>
  <c r="L23" i="6"/>
  <c r="M18" i="6"/>
  <c r="O18" i="6" s="1"/>
  <c r="N23" i="6"/>
  <c r="M19" i="6"/>
  <c r="O19" i="6" s="1"/>
  <c r="F23" i="6"/>
  <c r="M7" i="6"/>
  <c r="O7" i="6" s="1"/>
  <c r="M11" i="6"/>
  <c r="O11" i="6" s="1"/>
  <c r="M20" i="6"/>
  <c r="O20" i="6" s="1"/>
  <c r="G23" i="6"/>
  <c r="M6" i="6"/>
  <c r="O6" i="6" s="1"/>
  <c r="M13" i="6"/>
  <c r="O13" i="6" s="1"/>
  <c r="M15" i="6"/>
  <c r="O15" i="6" s="1"/>
  <c r="M21" i="6"/>
  <c r="O21" i="6" s="1"/>
  <c r="E23" i="6"/>
  <c r="H23" i="6"/>
  <c r="M14" i="6"/>
  <c r="O14" i="6" s="1"/>
  <c r="M22" i="6"/>
  <c r="O22" i="6" s="1"/>
  <c r="I23" i="6"/>
  <c r="M8" i="6"/>
  <c r="O8" i="6" s="1"/>
  <c r="J23" i="6"/>
  <c r="M9" i="6"/>
  <c r="O9" i="6" s="1"/>
  <c r="M16" i="6"/>
  <c r="O16" i="6" s="1"/>
  <c r="D14" i="3"/>
  <c r="X7" i="2"/>
  <c r="I7" i="3"/>
  <c r="B7" i="4"/>
  <c r="C7" i="5"/>
  <c r="C10" i="5"/>
  <c r="B10" i="4"/>
  <c r="C12" i="5"/>
  <c r="B12" i="4"/>
  <c r="C15" i="5"/>
  <c r="B15" i="4"/>
  <c r="C18" i="5"/>
  <c r="B18" i="4"/>
  <c r="C20" i="5"/>
  <c r="B20" i="4"/>
  <c r="B23" i="4"/>
  <c r="C23" i="5"/>
  <c r="B26" i="4"/>
  <c r="C26" i="5"/>
  <c r="C28" i="5"/>
  <c r="B28" i="4"/>
  <c r="C31" i="5"/>
  <c r="B31" i="4"/>
  <c r="C34" i="5"/>
  <c r="B34" i="4"/>
  <c r="C36" i="5"/>
  <c r="B36" i="4"/>
  <c r="B39" i="4"/>
  <c r="C39" i="5"/>
  <c r="B42" i="4"/>
  <c r="C42" i="5"/>
  <c r="C44" i="5"/>
  <c r="B44" i="4"/>
  <c r="C47" i="5"/>
  <c r="B47" i="4"/>
  <c r="C50" i="5"/>
  <c r="B50" i="4"/>
  <c r="C52" i="5"/>
  <c r="B52" i="4"/>
  <c r="K7" i="2"/>
  <c r="D5" i="5"/>
  <c r="C5" i="4"/>
  <c r="C7" i="4"/>
  <c r="D7" i="5"/>
  <c r="D8" i="5"/>
  <c r="G8" i="5" s="1"/>
  <c r="C8" i="4"/>
  <c r="D10" i="5"/>
  <c r="C10" i="4"/>
  <c r="D13" i="5"/>
  <c r="G13" i="5" s="1"/>
  <c r="C13" i="4"/>
  <c r="D15" i="5"/>
  <c r="C15" i="4"/>
  <c r="C16" i="4"/>
  <c r="D16" i="5"/>
  <c r="D18" i="5"/>
  <c r="C18" i="4"/>
  <c r="D21" i="5"/>
  <c r="G21" i="5" s="1"/>
  <c r="C21" i="4"/>
  <c r="C23" i="4"/>
  <c r="D23" i="5"/>
  <c r="C24" i="4"/>
  <c r="D24" i="5"/>
  <c r="D26" i="5"/>
  <c r="C26" i="4"/>
  <c r="D29" i="5"/>
  <c r="G29" i="5" s="1"/>
  <c r="C29" i="4"/>
  <c r="D31" i="5"/>
  <c r="C31" i="4"/>
  <c r="C32" i="4"/>
  <c r="D32" i="5"/>
  <c r="D34" i="5"/>
  <c r="C34" i="4"/>
  <c r="D37" i="5"/>
  <c r="G37" i="5" s="1"/>
  <c r="C37" i="4"/>
  <c r="C39" i="4"/>
  <c r="D39" i="5"/>
  <c r="C40" i="4"/>
  <c r="D40" i="5"/>
  <c r="D42" i="5"/>
  <c r="C42" i="4"/>
  <c r="D45" i="5"/>
  <c r="C45" i="4"/>
  <c r="D47" i="5"/>
  <c r="C47" i="4"/>
  <c r="C48" i="4"/>
  <c r="D48" i="5"/>
  <c r="D50" i="5"/>
  <c r="C50" i="4"/>
  <c r="D53" i="5"/>
  <c r="C53" i="4"/>
  <c r="E6" i="5"/>
  <c r="G6" i="5" s="1"/>
  <c r="D6" i="4"/>
  <c r="E7" i="5"/>
  <c r="D7" i="4"/>
  <c r="E9" i="5"/>
  <c r="D9" i="4"/>
  <c r="E12" i="5"/>
  <c r="D12" i="4"/>
  <c r="E14" i="5"/>
  <c r="D14" i="4"/>
  <c r="E15" i="5"/>
  <c r="D15" i="4"/>
  <c r="E17" i="5"/>
  <c r="D17" i="4"/>
  <c r="E20" i="5"/>
  <c r="D20" i="4"/>
  <c r="E22" i="5"/>
  <c r="D22" i="4"/>
  <c r="E23" i="5"/>
  <c r="D23" i="4"/>
  <c r="E25" i="5"/>
  <c r="D25" i="4"/>
  <c r="E28" i="5"/>
  <c r="D28" i="4"/>
  <c r="E30" i="5"/>
  <c r="D30" i="4"/>
  <c r="E31" i="5"/>
  <c r="D31" i="4"/>
  <c r="E33" i="5"/>
  <c r="D33" i="4"/>
  <c r="D36" i="4"/>
  <c r="E36" i="5"/>
  <c r="E38" i="5"/>
  <c r="D38" i="4"/>
  <c r="E39" i="5"/>
  <c r="D39" i="4"/>
  <c r="E41" i="5"/>
  <c r="D41" i="4"/>
  <c r="E44" i="5"/>
  <c r="D44" i="4"/>
  <c r="E46" i="5"/>
  <c r="D46" i="4"/>
  <c r="E47" i="5"/>
  <c r="D47" i="4"/>
  <c r="D49" i="4"/>
  <c r="E49" i="5"/>
  <c r="D52" i="4"/>
  <c r="E52" i="5"/>
  <c r="F5" i="5"/>
  <c r="E5" i="4"/>
  <c r="F7" i="5"/>
  <c r="E7" i="4"/>
  <c r="E10" i="4"/>
  <c r="F10" i="5"/>
  <c r="F12" i="5"/>
  <c r="E12" i="4"/>
  <c r="F13" i="5"/>
  <c r="E13" i="4"/>
  <c r="F15" i="5"/>
  <c r="E15" i="4"/>
  <c r="F18" i="5"/>
  <c r="E18" i="4"/>
  <c r="F20" i="5"/>
  <c r="E20" i="4"/>
  <c r="F21" i="5"/>
  <c r="E21" i="4"/>
  <c r="F23" i="5"/>
  <c r="E23" i="4"/>
  <c r="E26" i="4"/>
  <c r="F26" i="5"/>
  <c r="F28" i="5"/>
  <c r="E28" i="4"/>
  <c r="F29" i="5"/>
  <c r="E29" i="4"/>
  <c r="F31" i="5"/>
  <c r="E31" i="4"/>
  <c r="F34" i="5"/>
  <c r="E34" i="4"/>
  <c r="F36" i="5"/>
  <c r="E36" i="4"/>
  <c r="F37" i="5"/>
  <c r="E37" i="4"/>
  <c r="F39" i="5"/>
  <c r="E39" i="4"/>
  <c r="E42" i="4"/>
  <c r="F42" i="5"/>
  <c r="F44" i="5"/>
  <c r="E44" i="4"/>
  <c r="F45" i="5"/>
  <c r="E45" i="4"/>
  <c r="F47" i="5"/>
  <c r="E47" i="4"/>
  <c r="F50" i="5"/>
  <c r="E50" i="4"/>
  <c r="F52" i="5"/>
  <c r="E52" i="4"/>
  <c r="E53" i="4"/>
  <c r="F53" i="5"/>
  <c r="Y7" i="2"/>
  <c r="A6" i="5"/>
  <c r="A6" i="4"/>
  <c r="A9" i="4"/>
  <c r="A9" i="5"/>
  <c r="A11" i="5"/>
  <c r="A11" i="4"/>
  <c r="A14" i="5"/>
  <c r="A14" i="4"/>
  <c r="A17" i="4"/>
  <c r="A17" i="5"/>
  <c r="A19" i="5"/>
  <c r="A19" i="4"/>
  <c r="A22" i="5"/>
  <c r="A22" i="4"/>
  <c r="A25" i="4"/>
  <c r="A25" i="5"/>
  <c r="A27" i="5"/>
  <c r="A27" i="4"/>
  <c r="A30" i="5"/>
  <c r="A30" i="4"/>
  <c r="A33" i="4"/>
  <c r="A33" i="5"/>
  <c r="A35" i="5"/>
  <c r="A35" i="4"/>
  <c r="A38" i="5"/>
  <c r="A38" i="4"/>
  <c r="A41" i="4"/>
  <c r="A41" i="5"/>
  <c r="A43" i="5"/>
  <c r="A43" i="4"/>
  <c r="A46" i="5"/>
  <c r="A46" i="4"/>
  <c r="A49" i="4"/>
  <c r="A49" i="5"/>
  <c r="A51" i="5"/>
  <c r="A51" i="4"/>
  <c r="A12" i="4"/>
  <c r="A12" i="5"/>
  <c r="A20" i="5"/>
  <c r="A20" i="4"/>
  <c r="A28" i="4"/>
  <c r="A28" i="5"/>
  <c r="A36" i="5"/>
  <c r="A36" i="4"/>
  <c r="A44" i="4"/>
  <c r="A44" i="5"/>
  <c r="A52" i="5"/>
  <c r="A52" i="4"/>
  <c r="D7" i="2"/>
  <c r="C9" i="5"/>
  <c r="H9" i="5" s="1"/>
  <c r="B9" i="4"/>
  <c r="C17" i="5"/>
  <c r="B17" i="4"/>
  <c r="I17" i="4" s="1"/>
  <c r="C25" i="5"/>
  <c r="B25" i="4"/>
  <c r="C33" i="5"/>
  <c r="B33" i="4"/>
  <c r="G33" i="4" s="1"/>
  <c r="C41" i="5"/>
  <c r="B41" i="4"/>
  <c r="B49" i="4"/>
  <c r="G49" i="4" s="1"/>
  <c r="C49" i="5"/>
  <c r="I6" i="5"/>
  <c r="H6" i="5"/>
  <c r="J6" i="5"/>
  <c r="C11" i="5"/>
  <c r="B11" i="4"/>
  <c r="A21" i="4"/>
  <c r="A21" i="5"/>
  <c r="E22" i="4"/>
  <c r="F22" i="5"/>
  <c r="C27" i="5"/>
  <c r="B27" i="4"/>
  <c r="A37" i="4"/>
  <c r="A37" i="5"/>
  <c r="E38" i="4"/>
  <c r="F38" i="5"/>
  <c r="C43" i="5"/>
  <c r="B43" i="4"/>
  <c r="D48" i="4"/>
  <c r="E48" i="5"/>
  <c r="D49" i="5"/>
  <c r="C49" i="4"/>
  <c r="A53" i="4"/>
  <c r="A53" i="5"/>
  <c r="B5" i="4"/>
  <c r="D8" i="4"/>
  <c r="B13" i="4"/>
  <c r="C17" i="4"/>
  <c r="D21" i="4"/>
  <c r="D32" i="4"/>
  <c r="B45" i="4"/>
  <c r="F30" i="5"/>
  <c r="E45" i="5"/>
  <c r="F49" i="5"/>
  <c r="E8" i="4"/>
  <c r="C9" i="4"/>
  <c r="A26" i="4"/>
  <c r="B30" i="4"/>
  <c r="G30" i="4" s="1"/>
  <c r="E32" i="4"/>
  <c r="E48" i="4"/>
  <c r="F46" i="5"/>
  <c r="J8" i="5"/>
  <c r="E10" i="5"/>
  <c r="D10" i="4"/>
  <c r="D11" i="5"/>
  <c r="C11" i="4"/>
  <c r="A15" i="5"/>
  <c r="A15" i="4"/>
  <c r="E18" i="5"/>
  <c r="D18" i="4"/>
  <c r="C19" i="4"/>
  <c r="D19" i="5"/>
  <c r="A23" i="5"/>
  <c r="A23" i="4"/>
  <c r="E26" i="5"/>
  <c r="D26" i="4"/>
  <c r="D27" i="5"/>
  <c r="C27" i="4"/>
  <c r="A31" i="5"/>
  <c r="A31" i="4"/>
  <c r="E34" i="5"/>
  <c r="D34" i="4"/>
  <c r="C35" i="4"/>
  <c r="D35" i="5"/>
  <c r="A39" i="5"/>
  <c r="A39" i="4"/>
  <c r="E42" i="5"/>
  <c r="D42" i="4"/>
  <c r="D43" i="5"/>
  <c r="C43" i="4"/>
  <c r="A47" i="4"/>
  <c r="A47" i="5"/>
  <c r="E50" i="5"/>
  <c r="D50" i="4"/>
  <c r="C51" i="4"/>
  <c r="D51" i="5"/>
  <c r="C53" i="5"/>
  <c r="B53" i="4"/>
  <c r="D5" i="4"/>
  <c r="B6" i="4"/>
  <c r="D13" i="4"/>
  <c r="D24" i="4"/>
  <c r="B37" i="4"/>
  <c r="C41" i="4"/>
  <c r="C19" i="5"/>
  <c r="E11" i="5"/>
  <c r="D11" i="4"/>
  <c r="C12" i="4"/>
  <c r="D12" i="5"/>
  <c r="E19" i="5"/>
  <c r="D19" i="4"/>
  <c r="A24" i="5"/>
  <c r="A24" i="4"/>
  <c r="F25" i="5"/>
  <c r="E25" i="4"/>
  <c r="E27" i="5"/>
  <c r="D27" i="4"/>
  <c r="C28" i="4"/>
  <c r="D28" i="5"/>
  <c r="E35" i="5"/>
  <c r="D35" i="4"/>
  <c r="A40" i="5"/>
  <c r="A40" i="4"/>
  <c r="F41" i="5"/>
  <c r="E41" i="4"/>
  <c r="E43" i="5"/>
  <c r="D43" i="4"/>
  <c r="C44" i="4"/>
  <c r="D44" i="5"/>
  <c r="E51" i="5"/>
  <c r="D51" i="4"/>
  <c r="C6" i="4"/>
  <c r="A7" i="4"/>
  <c r="E9" i="4"/>
  <c r="A18" i="4"/>
  <c r="B22" i="4"/>
  <c r="E24" i="4"/>
  <c r="D53" i="4"/>
  <c r="H8" i="5"/>
  <c r="A16" i="5"/>
  <c r="D20" i="5"/>
  <c r="C35" i="5"/>
  <c r="D16" i="4"/>
  <c r="B29" i="4"/>
  <c r="C33" i="4"/>
  <c r="D37" i="4"/>
  <c r="A50" i="4"/>
  <c r="I8" i="5"/>
  <c r="A13" i="5"/>
  <c r="A32" i="5"/>
  <c r="D36" i="5"/>
  <c r="C51" i="5"/>
  <c r="F11" i="5"/>
  <c r="E11" i="4"/>
  <c r="D14" i="5"/>
  <c r="C14" i="4"/>
  <c r="C16" i="5"/>
  <c r="J16" i="5" s="1"/>
  <c r="B16" i="4"/>
  <c r="F19" i="5"/>
  <c r="E19" i="4"/>
  <c r="D22" i="5"/>
  <c r="C22" i="4"/>
  <c r="C24" i="5"/>
  <c r="H24" i="5" s="1"/>
  <c r="B24" i="4"/>
  <c r="F27" i="5"/>
  <c r="E27" i="4"/>
  <c r="D30" i="5"/>
  <c r="C30" i="4"/>
  <c r="C32" i="5"/>
  <c r="J32" i="5" s="1"/>
  <c r="B32" i="4"/>
  <c r="F35" i="5"/>
  <c r="E35" i="4"/>
  <c r="D38" i="5"/>
  <c r="C38" i="4"/>
  <c r="C40" i="5"/>
  <c r="J40" i="5" s="1"/>
  <c r="B40" i="4"/>
  <c r="F43" i="5"/>
  <c r="E43" i="4"/>
  <c r="C46" i="4"/>
  <c r="D46" i="5"/>
  <c r="C48" i="5"/>
  <c r="J48" i="5" s="1"/>
  <c r="B48" i="4"/>
  <c r="F51" i="5"/>
  <c r="E51" i="4"/>
  <c r="E6" i="4"/>
  <c r="A8" i="4"/>
  <c r="A10" i="4"/>
  <c r="B14" i="4"/>
  <c r="H14" i="4" s="1"/>
  <c r="E16" i="4"/>
  <c r="A42" i="4"/>
  <c r="B46" i="4"/>
  <c r="I46" i="4" s="1"/>
  <c r="A29" i="5"/>
  <c r="A48" i="5"/>
  <c r="D52" i="5"/>
  <c r="B8" i="4"/>
  <c r="B21" i="4"/>
  <c r="C25" i="4"/>
  <c r="D29" i="4"/>
  <c r="D40" i="4"/>
  <c r="F17" i="5"/>
  <c r="A45" i="5"/>
  <c r="A5" i="4"/>
  <c r="A34" i="4"/>
  <c r="B38" i="4"/>
  <c r="E40" i="4"/>
  <c r="F14" i="5"/>
  <c r="F33" i="5"/>
  <c r="M5" i="6"/>
  <c r="AL7" i="2" l="1"/>
  <c r="I16" i="3" s="1"/>
  <c r="G46" i="5"/>
  <c r="F36" i="4"/>
  <c r="G38" i="5"/>
  <c r="G36" i="5"/>
  <c r="F52" i="4"/>
  <c r="H30" i="4"/>
  <c r="AF8" i="2"/>
  <c r="AL8" i="2" s="1"/>
  <c r="I9" i="5"/>
  <c r="J9" i="5"/>
  <c r="AZ7" i="2"/>
  <c r="I18" i="3" s="1"/>
  <c r="G28" i="5"/>
  <c r="G41" i="5"/>
  <c r="G9" i="5"/>
  <c r="F51" i="4"/>
  <c r="F44" i="4"/>
  <c r="H33" i="4"/>
  <c r="I33" i="4"/>
  <c r="G24" i="5"/>
  <c r="F47" i="4"/>
  <c r="F24" i="4"/>
  <c r="F27" i="4"/>
  <c r="G33" i="5"/>
  <c r="F43" i="4"/>
  <c r="G17" i="5"/>
  <c r="F39" i="4"/>
  <c r="F31" i="4"/>
  <c r="G49" i="5"/>
  <c r="G14" i="4"/>
  <c r="F20" i="4"/>
  <c r="I24" i="5"/>
  <c r="G44" i="5"/>
  <c r="F12" i="4"/>
  <c r="G19" i="5"/>
  <c r="G39" i="5"/>
  <c r="K8" i="5"/>
  <c r="F19" i="4"/>
  <c r="K6" i="5"/>
  <c r="G47" i="5"/>
  <c r="G23" i="5"/>
  <c r="G27" i="5"/>
  <c r="G35" i="5"/>
  <c r="AM8" i="2"/>
  <c r="D24" i="3" s="1"/>
  <c r="F13" i="4"/>
  <c r="F35" i="4"/>
  <c r="I40" i="5"/>
  <c r="J24" i="5"/>
  <c r="F10" i="4"/>
  <c r="F40" i="4"/>
  <c r="F33" i="4"/>
  <c r="G12" i="5"/>
  <c r="F49" i="4"/>
  <c r="G25" i="5"/>
  <c r="G34" i="5"/>
  <c r="G26" i="5"/>
  <c r="G18" i="5"/>
  <c r="I53" i="4"/>
  <c r="H53" i="4"/>
  <c r="G53" i="4"/>
  <c r="H29" i="5"/>
  <c r="J29" i="5"/>
  <c r="I29" i="5"/>
  <c r="H33" i="5"/>
  <c r="J33" i="5"/>
  <c r="I33" i="5"/>
  <c r="I14" i="4"/>
  <c r="J51" i="5"/>
  <c r="I51" i="5"/>
  <c r="H51" i="5"/>
  <c r="G30" i="5"/>
  <c r="J19" i="5"/>
  <c r="I19" i="5"/>
  <c r="H19" i="5"/>
  <c r="E54" i="5"/>
  <c r="H25" i="5"/>
  <c r="J25" i="5"/>
  <c r="I25" i="5"/>
  <c r="F41" i="4"/>
  <c r="H48" i="4"/>
  <c r="G48" i="4"/>
  <c r="I48" i="4"/>
  <c r="I30" i="5"/>
  <c r="H30" i="5"/>
  <c r="J30" i="5"/>
  <c r="G46" i="4"/>
  <c r="D15" i="3"/>
  <c r="AE7" i="2"/>
  <c r="J47" i="5"/>
  <c r="I47" i="5"/>
  <c r="H47" i="5"/>
  <c r="J39" i="5"/>
  <c r="I39" i="5"/>
  <c r="H39" i="5"/>
  <c r="J31" i="5"/>
  <c r="I31" i="5"/>
  <c r="H31" i="5"/>
  <c r="J23" i="5"/>
  <c r="I23" i="5"/>
  <c r="H23" i="5"/>
  <c r="J15" i="5"/>
  <c r="I15" i="5"/>
  <c r="H15" i="5"/>
  <c r="J7" i="5"/>
  <c r="I7" i="5"/>
  <c r="H7" i="5"/>
  <c r="G48" i="5"/>
  <c r="G40" i="5"/>
  <c r="F18" i="4"/>
  <c r="D13" i="3"/>
  <c r="Q7" i="2"/>
  <c r="I41" i="4"/>
  <c r="H41" i="4"/>
  <c r="G41" i="4"/>
  <c r="F11" i="4"/>
  <c r="H45" i="5"/>
  <c r="J45" i="5"/>
  <c r="I45" i="5"/>
  <c r="H37" i="5"/>
  <c r="I37" i="5"/>
  <c r="J37" i="5"/>
  <c r="H21" i="5"/>
  <c r="J21" i="5"/>
  <c r="I21" i="5"/>
  <c r="F54" i="5"/>
  <c r="H5" i="5"/>
  <c r="J5" i="5"/>
  <c r="I5" i="5"/>
  <c r="F32" i="4"/>
  <c r="G16" i="5"/>
  <c r="G52" i="5"/>
  <c r="F38" i="4"/>
  <c r="I27" i="4"/>
  <c r="G27" i="4"/>
  <c r="H27" i="4"/>
  <c r="I30" i="4"/>
  <c r="G51" i="5"/>
  <c r="I32" i="4"/>
  <c r="H32" i="4"/>
  <c r="G32" i="4"/>
  <c r="H53" i="5"/>
  <c r="J53" i="5"/>
  <c r="I53" i="5"/>
  <c r="I45" i="4"/>
  <c r="H45" i="4"/>
  <c r="G45" i="4"/>
  <c r="I37" i="4"/>
  <c r="H37" i="4"/>
  <c r="G37" i="4"/>
  <c r="I29" i="4"/>
  <c r="H29" i="4"/>
  <c r="G29" i="4"/>
  <c r="I21" i="4"/>
  <c r="H21" i="4"/>
  <c r="G21" i="4"/>
  <c r="I13" i="4"/>
  <c r="H13" i="4"/>
  <c r="G13" i="4"/>
  <c r="I5" i="4"/>
  <c r="H5" i="4"/>
  <c r="G5" i="4"/>
  <c r="F48" i="4"/>
  <c r="G32" i="5"/>
  <c r="G10" i="5"/>
  <c r="O5" i="6"/>
  <c r="O23" i="6" s="1"/>
  <c r="B10" i="7" s="1"/>
  <c r="M23" i="6"/>
  <c r="I24" i="4"/>
  <c r="H24" i="4"/>
  <c r="G24" i="4"/>
  <c r="F8" i="4"/>
  <c r="F14" i="4"/>
  <c r="H41" i="5"/>
  <c r="J41" i="5"/>
  <c r="I41" i="5"/>
  <c r="I44" i="4"/>
  <c r="H44" i="4"/>
  <c r="G44" i="4"/>
  <c r="I28" i="4"/>
  <c r="H28" i="4"/>
  <c r="G28" i="4"/>
  <c r="I20" i="4"/>
  <c r="H20" i="4"/>
  <c r="G20" i="4"/>
  <c r="I12" i="4"/>
  <c r="H12" i="4"/>
  <c r="G12" i="4"/>
  <c r="I14" i="5"/>
  <c r="H14" i="5"/>
  <c r="J14" i="5"/>
  <c r="H17" i="5"/>
  <c r="J17" i="5"/>
  <c r="I17" i="5"/>
  <c r="F46" i="4"/>
  <c r="J35" i="5"/>
  <c r="I35" i="5"/>
  <c r="H35" i="5"/>
  <c r="G14" i="5"/>
  <c r="H49" i="4"/>
  <c r="F28" i="4"/>
  <c r="F9" i="4"/>
  <c r="F17" i="4"/>
  <c r="I38" i="5"/>
  <c r="H38" i="5"/>
  <c r="J38" i="5"/>
  <c r="J52" i="5"/>
  <c r="I52" i="5"/>
  <c r="H52" i="5"/>
  <c r="J44" i="5"/>
  <c r="I44" i="5"/>
  <c r="H44" i="5"/>
  <c r="J36" i="5"/>
  <c r="I36" i="5"/>
  <c r="H36" i="5"/>
  <c r="J28" i="5"/>
  <c r="I28" i="5"/>
  <c r="H28" i="5"/>
  <c r="J20" i="5"/>
  <c r="I20" i="5"/>
  <c r="H20" i="5"/>
  <c r="J12" i="5"/>
  <c r="I12" i="5"/>
  <c r="H12" i="5"/>
  <c r="F53" i="4"/>
  <c r="F45" i="4"/>
  <c r="F37" i="4"/>
  <c r="G31" i="5"/>
  <c r="F23" i="4"/>
  <c r="F15" i="4"/>
  <c r="G7" i="5"/>
  <c r="I40" i="4"/>
  <c r="H40" i="4"/>
  <c r="G40" i="4"/>
  <c r="H40" i="5"/>
  <c r="I43" i="4"/>
  <c r="H43" i="4"/>
  <c r="G43" i="4"/>
  <c r="F22" i="4"/>
  <c r="I11" i="4"/>
  <c r="H11" i="4"/>
  <c r="G11" i="4"/>
  <c r="G20" i="5"/>
  <c r="I9" i="4"/>
  <c r="H9" i="4"/>
  <c r="G9" i="4"/>
  <c r="I49" i="4"/>
  <c r="G17" i="4"/>
  <c r="H48" i="5"/>
  <c r="H32" i="5"/>
  <c r="H16" i="5"/>
  <c r="I8" i="4"/>
  <c r="H8" i="4"/>
  <c r="G8" i="4"/>
  <c r="G38" i="4"/>
  <c r="I38" i="4"/>
  <c r="H38" i="4"/>
  <c r="I22" i="5"/>
  <c r="H22" i="5"/>
  <c r="J22" i="5"/>
  <c r="H50" i="4"/>
  <c r="G50" i="4"/>
  <c r="I50" i="4"/>
  <c r="I42" i="5"/>
  <c r="H42" i="5"/>
  <c r="J42" i="5"/>
  <c r="G34" i="4"/>
  <c r="I34" i="4"/>
  <c r="H34" i="4"/>
  <c r="I26" i="5"/>
  <c r="H26" i="5"/>
  <c r="J26" i="5"/>
  <c r="G18" i="4"/>
  <c r="I18" i="4"/>
  <c r="H18" i="4"/>
  <c r="I10" i="5"/>
  <c r="H10" i="5"/>
  <c r="J10" i="5"/>
  <c r="G53" i="5"/>
  <c r="G45" i="5"/>
  <c r="F29" i="4"/>
  <c r="F21" i="4"/>
  <c r="G15" i="5"/>
  <c r="F7" i="4"/>
  <c r="I16" i="4"/>
  <c r="H16" i="4"/>
  <c r="G16" i="4"/>
  <c r="J27" i="5"/>
  <c r="I27" i="5"/>
  <c r="H27" i="5"/>
  <c r="I35" i="4"/>
  <c r="H35" i="4"/>
  <c r="G35" i="4"/>
  <c r="G11" i="5"/>
  <c r="H52" i="4"/>
  <c r="G52" i="4"/>
  <c r="I52" i="4"/>
  <c r="I36" i="4"/>
  <c r="H36" i="4"/>
  <c r="G36" i="4"/>
  <c r="F16" i="4"/>
  <c r="G6" i="4"/>
  <c r="I6" i="4"/>
  <c r="H6" i="4"/>
  <c r="J43" i="5"/>
  <c r="I43" i="5"/>
  <c r="H43" i="5"/>
  <c r="G22" i="5"/>
  <c r="J11" i="5"/>
  <c r="I11" i="5"/>
  <c r="H11" i="5"/>
  <c r="H17" i="4"/>
  <c r="I48" i="5"/>
  <c r="I32" i="5"/>
  <c r="I16" i="5"/>
  <c r="H49" i="5"/>
  <c r="J49" i="5"/>
  <c r="I49" i="5"/>
  <c r="H46" i="4"/>
  <c r="G22" i="4"/>
  <c r="I22" i="4"/>
  <c r="H22" i="4"/>
  <c r="D12" i="3"/>
  <c r="J7" i="2"/>
  <c r="I50" i="5"/>
  <c r="H50" i="5"/>
  <c r="J50" i="5"/>
  <c r="G42" i="4"/>
  <c r="H42" i="4"/>
  <c r="I42" i="4"/>
  <c r="I34" i="5"/>
  <c r="H34" i="5"/>
  <c r="J34" i="5"/>
  <c r="G26" i="4"/>
  <c r="I26" i="4"/>
  <c r="H26" i="4"/>
  <c r="I18" i="5"/>
  <c r="H18" i="5"/>
  <c r="J18" i="5"/>
  <c r="G10" i="4"/>
  <c r="H10" i="4"/>
  <c r="I10" i="4"/>
  <c r="F50" i="4"/>
  <c r="F42" i="4"/>
  <c r="F5" i="4"/>
  <c r="I14" i="3"/>
  <c r="R8" i="2"/>
  <c r="H13" i="5"/>
  <c r="J13" i="5"/>
  <c r="I13" i="5"/>
  <c r="G43" i="5"/>
  <c r="F25" i="4"/>
  <c r="I51" i="4"/>
  <c r="G51" i="4"/>
  <c r="H51" i="4"/>
  <c r="F30" i="4"/>
  <c r="I19" i="4"/>
  <c r="H19" i="4"/>
  <c r="G19" i="4"/>
  <c r="F6" i="4"/>
  <c r="I25" i="4"/>
  <c r="H25" i="4"/>
  <c r="G25" i="4"/>
  <c r="I46" i="5"/>
  <c r="H46" i="5"/>
  <c r="J46" i="5"/>
  <c r="I47" i="4"/>
  <c r="H47" i="4"/>
  <c r="G47" i="4"/>
  <c r="I39" i="4"/>
  <c r="H39" i="4"/>
  <c r="G39" i="4"/>
  <c r="I31" i="4"/>
  <c r="H31" i="4"/>
  <c r="G31" i="4"/>
  <c r="I23" i="4"/>
  <c r="H23" i="4"/>
  <c r="G23" i="4"/>
  <c r="I15" i="4"/>
  <c r="H15" i="4"/>
  <c r="G15" i="4"/>
  <c r="I7" i="4"/>
  <c r="H7" i="4"/>
  <c r="G7" i="4"/>
  <c r="G50" i="5"/>
  <c r="G42" i="5"/>
  <c r="F34" i="4"/>
  <c r="F26" i="4"/>
  <c r="D54" i="5"/>
  <c r="G5" i="5"/>
  <c r="D23" i="3" l="1"/>
  <c r="K9" i="5"/>
  <c r="AT8" i="2"/>
  <c r="AZ8" i="2" s="1"/>
  <c r="J33" i="4"/>
  <c r="J6" i="4"/>
  <c r="J44" i="4"/>
  <c r="J39" i="4"/>
  <c r="J19" i="4"/>
  <c r="K36" i="5"/>
  <c r="K14" i="5"/>
  <c r="K37" i="5"/>
  <c r="K47" i="5"/>
  <c r="J35" i="4"/>
  <c r="K24" i="5"/>
  <c r="K44" i="5"/>
  <c r="J45" i="4"/>
  <c r="K13" i="5"/>
  <c r="K12" i="5"/>
  <c r="K17" i="5"/>
  <c r="K33" i="5"/>
  <c r="K39" i="5"/>
  <c r="AS8" i="2"/>
  <c r="AM9" i="2" s="1"/>
  <c r="J34" i="4"/>
  <c r="J10" i="4"/>
  <c r="K27" i="5"/>
  <c r="J36" i="4"/>
  <c r="K31" i="5"/>
  <c r="J14" i="4"/>
  <c r="K29" i="5"/>
  <c r="J49" i="4"/>
  <c r="K45" i="5"/>
  <c r="K23" i="5"/>
  <c r="J47" i="4"/>
  <c r="K34" i="5"/>
  <c r="J31" i="4"/>
  <c r="K41" i="5"/>
  <c r="K25" i="5"/>
  <c r="K53" i="5"/>
  <c r="K26" i="5"/>
  <c r="J40" i="4"/>
  <c r="K28" i="5"/>
  <c r="J9" i="4"/>
  <c r="J13" i="4"/>
  <c r="J27" i="4"/>
  <c r="K18" i="5"/>
  <c r="J12" i="4"/>
  <c r="J51" i="4"/>
  <c r="J24" i="4"/>
  <c r="K19" i="5"/>
  <c r="K46" i="5"/>
  <c r="J43" i="4"/>
  <c r="K35" i="5"/>
  <c r="J20" i="4"/>
  <c r="K51" i="5"/>
  <c r="K52" i="5"/>
  <c r="K21" i="5"/>
  <c r="K49" i="5"/>
  <c r="J52" i="4"/>
  <c r="J29" i="4"/>
  <c r="K38" i="5"/>
  <c r="J11" i="4"/>
  <c r="I15" i="3"/>
  <c r="Y8" i="2"/>
  <c r="K5" i="5"/>
  <c r="G54" i="5"/>
  <c r="K20" i="5"/>
  <c r="J37" i="4"/>
  <c r="J17" i="4"/>
  <c r="J46" i="4"/>
  <c r="K32" i="5"/>
  <c r="K16" i="5"/>
  <c r="J18" i="4"/>
  <c r="J42" i="4"/>
  <c r="J25" i="4"/>
  <c r="J48" i="4"/>
  <c r="J26" i="4"/>
  <c r="J7" i="4"/>
  <c r="B6" i="7"/>
  <c r="J54" i="5"/>
  <c r="K40" i="5"/>
  <c r="K30" i="5"/>
  <c r="K43" i="5"/>
  <c r="B5" i="7"/>
  <c r="J5" i="4"/>
  <c r="K15" i="5"/>
  <c r="I24" i="3"/>
  <c r="J22" i="4"/>
  <c r="K7" i="5"/>
  <c r="J8" i="4"/>
  <c r="B7" i="7"/>
  <c r="J38" i="4"/>
  <c r="H54" i="5"/>
  <c r="K48" i="5"/>
  <c r="J32" i="4"/>
  <c r="J41" i="4"/>
  <c r="I23" i="3"/>
  <c r="AF9" i="2"/>
  <c r="J50" i="4"/>
  <c r="I54" i="5"/>
  <c r="K42" i="5"/>
  <c r="D8" i="2"/>
  <c r="I12" i="3"/>
  <c r="J16" i="4"/>
  <c r="J21" i="4"/>
  <c r="J15" i="4"/>
  <c r="K10" i="5"/>
  <c r="B8" i="7"/>
  <c r="K8" i="2"/>
  <c r="I13" i="3"/>
  <c r="D21" i="3"/>
  <c r="X8" i="2"/>
  <c r="J53" i="4"/>
  <c r="J28" i="4"/>
  <c r="K50" i="5"/>
  <c r="J30" i="4"/>
  <c r="K22" i="5"/>
  <c r="K11" i="5"/>
  <c r="J23" i="4"/>
  <c r="D25" i="3" l="1"/>
  <c r="B9" i="7"/>
  <c r="B11" i="7" s="1"/>
  <c r="R9" i="2"/>
  <c r="I21" i="3"/>
  <c r="K54" i="5"/>
  <c r="AS9" i="2"/>
  <c r="D31" i="3"/>
  <c r="D22" i="3"/>
  <c r="AE8" i="2"/>
  <c r="D30" i="3"/>
  <c r="AL9" i="2"/>
  <c r="I25" i="3"/>
  <c r="AT9" i="2"/>
  <c r="D19" i="3"/>
  <c r="J8" i="2"/>
  <c r="D20" i="3"/>
  <c r="Q8" i="2"/>
  <c r="I20" i="3" l="1"/>
  <c r="K9" i="2"/>
  <c r="I31" i="3"/>
  <c r="AM10" i="2"/>
  <c r="I22" i="3"/>
  <c r="Y9" i="2"/>
  <c r="I19" i="3"/>
  <c r="D9" i="2"/>
  <c r="D32" i="3"/>
  <c r="AZ9" i="2"/>
  <c r="I30" i="3"/>
  <c r="AF10" i="2"/>
  <c r="D28" i="3"/>
  <c r="X9" i="2"/>
  <c r="J9" i="2" l="1"/>
  <c r="D26" i="3"/>
  <c r="D29" i="3"/>
  <c r="AE9" i="2"/>
  <c r="I28" i="3"/>
  <c r="R10" i="2"/>
  <c r="D37" i="3"/>
  <c r="AL10" i="2"/>
  <c r="I32" i="3"/>
  <c r="AT10" i="2"/>
  <c r="D27" i="3"/>
  <c r="Q9" i="2"/>
  <c r="D38" i="3"/>
  <c r="AS10" i="2"/>
  <c r="AF11" i="2" l="1"/>
  <c r="I37" i="3"/>
  <c r="D35" i="3"/>
  <c r="X10" i="2"/>
  <c r="I38" i="3"/>
  <c r="AM11" i="2"/>
  <c r="I27" i="3"/>
  <c r="K10" i="2"/>
  <c r="AZ10" i="2"/>
  <c r="D39" i="3"/>
  <c r="I29" i="3"/>
  <c r="Y10" i="2"/>
  <c r="I26" i="3"/>
  <c r="D10" i="2"/>
  <c r="Q10" i="2" l="1"/>
  <c r="D34" i="3"/>
  <c r="D45" i="3"/>
  <c r="AS11" i="2"/>
  <c r="R11" i="2"/>
  <c r="I35" i="3"/>
  <c r="D33" i="3"/>
  <c r="J10" i="2"/>
  <c r="D36" i="3"/>
  <c r="AE10" i="2"/>
  <c r="AT11" i="2"/>
  <c r="I39" i="3"/>
  <c r="D44" i="3"/>
  <c r="AL11" i="2"/>
  <c r="AM12" i="2" l="1"/>
  <c r="I45" i="3"/>
  <c r="I33" i="3"/>
  <c r="D11" i="2"/>
  <c r="AF12" i="2"/>
  <c r="I44" i="3"/>
  <c r="D42" i="3"/>
  <c r="X11" i="2"/>
  <c r="D46" i="3"/>
  <c r="AZ11" i="2"/>
  <c r="Y11" i="2"/>
  <c r="I36" i="3"/>
  <c r="K11" i="2"/>
  <c r="I34" i="3"/>
  <c r="I42" i="3" l="1"/>
  <c r="R12" i="2"/>
  <c r="D41" i="3"/>
  <c r="Q11" i="2"/>
  <c r="D40" i="3"/>
  <c r="J11" i="2"/>
  <c r="I46" i="3"/>
  <c r="AT12" i="2"/>
  <c r="D51" i="3"/>
  <c r="AL12" i="2"/>
  <c r="D43" i="3"/>
  <c r="AE11" i="2"/>
  <c r="D52" i="3"/>
  <c r="AS12" i="2"/>
  <c r="D53" i="3" l="1"/>
  <c r="AZ12" i="2"/>
  <c r="Y12" i="2"/>
  <c r="I43" i="3"/>
  <c r="I52" i="3"/>
  <c r="AM13" i="2"/>
  <c r="I40" i="3"/>
  <c r="D12" i="2"/>
  <c r="I41" i="3"/>
  <c r="K12" i="2"/>
  <c r="I51" i="3"/>
  <c r="AF13" i="2"/>
  <c r="D49" i="3"/>
  <c r="X12" i="2"/>
  <c r="D47" i="3" l="1"/>
  <c r="J12" i="2"/>
  <c r="D59" i="3"/>
  <c r="AS13" i="2"/>
  <c r="D50" i="3"/>
  <c r="AE12" i="2"/>
  <c r="AL13" i="2"/>
  <c r="D58" i="3"/>
  <c r="D48" i="3"/>
  <c r="Q12" i="2"/>
  <c r="AT13" i="2"/>
  <c r="I53" i="3"/>
  <c r="I49" i="3"/>
  <c r="R13" i="2"/>
  <c r="I58" i="3" l="1"/>
  <c r="AF14" i="2"/>
  <c r="D56" i="3"/>
  <c r="X13" i="2"/>
  <c r="I48" i="3"/>
  <c r="K13" i="2"/>
  <c r="I47" i="3"/>
  <c r="D13" i="2"/>
  <c r="I50" i="3"/>
  <c r="Y13" i="2"/>
  <c r="I59" i="3"/>
  <c r="AM14" i="2"/>
  <c r="D60" i="3"/>
  <c r="AZ13" i="2"/>
  <c r="D54" i="3" l="1"/>
  <c r="J13" i="2"/>
  <c r="Q13" i="2"/>
  <c r="D55" i="3"/>
  <c r="AS14" i="2"/>
  <c r="D66" i="3"/>
  <c r="AE13" i="2"/>
  <c r="D57" i="3"/>
  <c r="AL14" i="2"/>
  <c r="D65" i="3"/>
  <c r="I60" i="3"/>
  <c r="AT14" i="2"/>
  <c r="I56" i="3"/>
  <c r="R14" i="2"/>
  <c r="X14" i="2" l="1"/>
  <c r="D63" i="3"/>
  <c r="I66" i="3"/>
  <c r="AM15" i="2"/>
  <c r="I55" i="3"/>
  <c r="K14" i="2"/>
  <c r="D67" i="3"/>
  <c r="AZ14" i="2"/>
  <c r="I54" i="3"/>
  <c r="D14" i="2"/>
  <c r="I57" i="3"/>
  <c r="Y14" i="2"/>
  <c r="I65" i="3"/>
  <c r="AF15" i="2"/>
  <c r="I67" i="3" l="1"/>
  <c r="AT15" i="2"/>
  <c r="D72" i="3"/>
  <c r="AL15" i="2"/>
  <c r="D64" i="3"/>
  <c r="AE14" i="2"/>
  <c r="D61" i="3"/>
  <c r="J14" i="2"/>
  <c r="D62" i="3"/>
  <c r="Q14" i="2"/>
  <c r="AS15" i="2"/>
  <c r="D73" i="3"/>
  <c r="I63" i="3"/>
  <c r="R15" i="2"/>
  <c r="I64" i="3" l="1"/>
  <c r="Y15" i="2"/>
  <c r="D70" i="3"/>
  <c r="X15" i="2"/>
  <c r="I62" i="3"/>
  <c r="K15" i="2"/>
  <c r="AZ15" i="2"/>
  <c r="D74" i="3"/>
  <c r="D15" i="2"/>
  <c r="I61" i="3"/>
  <c r="AF16" i="2"/>
  <c r="I72" i="3"/>
  <c r="I73" i="3"/>
  <c r="AM16" i="2"/>
  <c r="D69" i="3" l="1"/>
  <c r="Q15" i="2"/>
  <c r="D80" i="3"/>
  <c r="AS16" i="2"/>
  <c r="AE15" i="2"/>
  <c r="D71" i="3"/>
  <c r="I74" i="3"/>
  <c r="AT16" i="2"/>
  <c r="I70" i="3"/>
  <c r="R16" i="2"/>
  <c r="AL16" i="2"/>
  <c r="D79" i="3"/>
  <c r="D68" i="3"/>
  <c r="J15" i="2"/>
  <c r="AM17" i="2" l="1"/>
  <c r="I80" i="3"/>
  <c r="D16" i="2"/>
  <c r="I68" i="3"/>
  <c r="I79" i="3"/>
  <c r="AF17" i="2"/>
  <c r="D77" i="3"/>
  <c r="X16" i="2"/>
  <c r="I69" i="3"/>
  <c r="K16" i="2"/>
  <c r="AZ16" i="2"/>
  <c r="D81" i="3"/>
  <c r="Y16" i="2"/>
  <c r="I71" i="3"/>
  <c r="D75" i="3" l="1"/>
  <c r="J16" i="2"/>
  <c r="I77" i="3"/>
  <c r="R17" i="2"/>
  <c r="D78" i="3"/>
  <c r="AE16" i="2"/>
  <c r="Q16" i="2"/>
  <c r="D76" i="3"/>
  <c r="D86" i="3"/>
  <c r="AL17" i="2"/>
  <c r="I81" i="3"/>
  <c r="AT17" i="2"/>
  <c r="AS17" i="2"/>
  <c r="D87" i="3"/>
  <c r="K17" i="2" l="1"/>
  <c r="I76" i="3"/>
  <c r="I78" i="3"/>
  <c r="Y17" i="2"/>
  <c r="D88" i="3"/>
  <c r="AZ17" i="2"/>
  <c r="I86" i="3"/>
  <c r="AF18" i="2"/>
  <c r="I75" i="3"/>
  <c r="D17" i="2"/>
  <c r="I87" i="3"/>
  <c r="AM18" i="2"/>
  <c r="X17" i="2"/>
  <c r="D84" i="3"/>
  <c r="R18" i="2" l="1"/>
  <c r="I84" i="3"/>
  <c r="D85" i="3"/>
  <c r="AE17" i="2"/>
  <c r="J17" i="2"/>
  <c r="D82" i="3"/>
  <c r="D93" i="3"/>
  <c r="AL18" i="2"/>
  <c r="AT18" i="2"/>
  <c r="I88" i="3"/>
  <c r="D94" i="3"/>
  <c r="AS18" i="2"/>
  <c r="D83" i="3"/>
  <c r="Q17" i="2"/>
  <c r="I83" i="3" l="1"/>
  <c r="K18" i="2"/>
  <c r="I93" i="3"/>
  <c r="AF19" i="2"/>
  <c r="I82" i="3"/>
  <c r="D18" i="2"/>
  <c r="Y18" i="2"/>
  <c r="I85" i="3"/>
  <c r="I94" i="3"/>
  <c r="AM19" i="2"/>
  <c r="AZ18" i="2"/>
  <c r="D95" i="3"/>
  <c r="D91" i="3"/>
  <c r="X18" i="2"/>
  <c r="J18" i="2" l="1"/>
  <c r="D89" i="3"/>
  <c r="AL19" i="2"/>
  <c r="D100" i="3"/>
  <c r="D92" i="3"/>
  <c r="AE18" i="2"/>
  <c r="Q18" i="2"/>
  <c r="D90" i="3"/>
  <c r="I91" i="3"/>
  <c r="R19" i="2"/>
  <c r="I95" i="3"/>
  <c r="AT19" i="2"/>
  <c r="D101" i="3"/>
  <c r="AS19" i="2"/>
  <c r="I101" i="3" l="1"/>
  <c r="AM20" i="2"/>
  <c r="K19" i="2"/>
  <c r="I90" i="3"/>
  <c r="Y19" i="2"/>
  <c r="I92" i="3"/>
  <c r="D102" i="3"/>
  <c r="AZ19" i="2"/>
  <c r="AF20" i="2"/>
  <c r="I100" i="3"/>
  <c r="X19" i="2"/>
  <c r="D98" i="3"/>
  <c r="I89" i="3"/>
  <c r="D19" i="2"/>
  <c r="I102" i="3" l="1"/>
  <c r="AT20" i="2"/>
  <c r="D99" i="3"/>
  <c r="AE19" i="2"/>
  <c r="D96" i="3"/>
  <c r="J19" i="2"/>
  <c r="I98" i="3"/>
  <c r="R20" i="2"/>
  <c r="Q19" i="2"/>
  <c r="D97" i="3"/>
  <c r="AS20" i="2"/>
  <c r="D108" i="3"/>
  <c r="D107" i="3"/>
  <c r="AL20" i="2"/>
  <c r="D20" i="2" l="1"/>
  <c r="I96" i="3"/>
  <c r="AM21" i="2"/>
  <c r="I108" i="3"/>
  <c r="I107" i="3"/>
  <c r="AF21" i="2"/>
  <c r="I99" i="3"/>
  <c r="Y20" i="2"/>
  <c r="D109" i="3"/>
  <c r="AZ20" i="2"/>
  <c r="X20" i="2"/>
  <c r="D105" i="3"/>
  <c r="I97" i="3"/>
  <c r="K20" i="2"/>
  <c r="AL21" i="2" l="1"/>
  <c r="D114" i="3"/>
  <c r="AE20" i="2"/>
  <c r="D106" i="3"/>
  <c r="D104" i="3"/>
  <c r="Q20" i="2"/>
  <c r="I105" i="3"/>
  <c r="R21" i="2"/>
  <c r="D115" i="3"/>
  <c r="AS21" i="2"/>
  <c r="I109" i="3"/>
  <c r="AT21" i="2"/>
  <c r="J20" i="2"/>
  <c r="D103" i="3"/>
  <c r="I115" i="3" l="1"/>
  <c r="AM22" i="2"/>
  <c r="AS22" i="2" s="1"/>
  <c r="AM23" i="2" s="1"/>
  <c r="AS23" i="2" s="1"/>
  <c r="AM24" i="2" s="1"/>
  <c r="AS24" i="2" s="1"/>
  <c r="AM25" i="2" s="1"/>
  <c r="AS25" i="2" s="1"/>
  <c r="AM26" i="2" s="1"/>
  <c r="AS26" i="2" s="1"/>
  <c r="AM27" i="2" s="1"/>
  <c r="AS27" i="2" s="1"/>
  <c r="AM28" i="2" s="1"/>
  <c r="AS28" i="2" s="1"/>
  <c r="AM29" i="2" s="1"/>
  <c r="AS29" i="2" s="1"/>
  <c r="AM30" i="2" s="1"/>
  <c r="AS30" i="2" s="1"/>
  <c r="AM31" i="2" s="1"/>
  <c r="AS31" i="2" s="1"/>
  <c r="AM32" i="2" s="1"/>
  <c r="AS32" i="2" s="1"/>
  <c r="AM33" i="2" s="1"/>
  <c r="AS33" i="2" s="1"/>
  <c r="AM34" i="2" s="1"/>
  <c r="AS34" i="2" s="1"/>
  <c r="AM35" i="2" s="1"/>
  <c r="AS35" i="2" s="1"/>
  <c r="AM36" i="2" s="1"/>
  <c r="AS36" i="2" s="1"/>
  <c r="I114" i="3"/>
  <c r="AF22" i="2"/>
  <c r="AL22" i="2" s="1"/>
  <c r="AF23" i="2" s="1"/>
  <c r="AL23" i="2" s="1"/>
  <c r="AF24" i="2" s="1"/>
  <c r="AL24" i="2" s="1"/>
  <c r="AF25" i="2" s="1"/>
  <c r="AL25" i="2" s="1"/>
  <c r="AF26" i="2" s="1"/>
  <c r="AL26" i="2" s="1"/>
  <c r="AF27" i="2" s="1"/>
  <c r="AL27" i="2" s="1"/>
  <c r="AF28" i="2" s="1"/>
  <c r="AL28" i="2" s="1"/>
  <c r="AF29" i="2" s="1"/>
  <c r="AL29" i="2" s="1"/>
  <c r="AF30" i="2" s="1"/>
  <c r="AL30" i="2" s="1"/>
  <c r="AF31" i="2" s="1"/>
  <c r="AL31" i="2" s="1"/>
  <c r="AF32" i="2" s="1"/>
  <c r="AL32" i="2" s="1"/>
  <c r="AF33" i="2" s="1"/>
  <c r="AL33" i="2" s="1"/>
  <c r="AF34" i="2" s="1"/>
  <c r="AL34" i="2" s="1"/>
  <c r="AF35" i="2" s="1"/>
  <c r="AL35" i="2" s="1"/>
  <c r="AF36" i="2" s="1"/>
  <c r="AL36" i="2" s="1"/>
  <c r="D112" i="3"/>
  <c r="X21" i="2"/>
  <c r="K21" i="2"/>
  <c r="I104" i="3"/>
  <c r="D21" i="2"/>
  <c r="I103" i="3"/>
  <c r="D116" i="3"/>
  <c r="AZ21" i="2"/>
  <c r="I106" i="3"/>
  <c r="Y21" i="2"/>
  <c r="I116" i="3" l="1"/>
  <c r="AT22" i="2"/>
  <c r="AZ22" i="2" s="1"/>
  <c r="AT23" i="2" s="1"/>
  <c r="AZ23" i="2" s="1"/>
  <c r="AT24" i="2" s="1"/>
  <c r="AZ24" i="2" s="1"/>
  <c r="AT25" i="2" s="1"/>
  <c r="AZ25" i="2" s="1"/>
  <c r="AT26" i="2" s="1"/>
  <c r="AZ26" i="2" s="1"/>
  <c r="AT27" i="2" s="1"/>
  <c r="AZ27" i="2" s="1"/>
  <c r="AT28" i="2" s="1"/>
  <c r="AZ28" i="2" s="1"/>
  <c r="AT29" i="2" s="1"/>
  <c r="AZ29" i="2" s="1"/>
  <c r="AT30" i="2" s="1"/>
  <c r="AZ30" i="2" s="1"/>
  <c r="AT31" i="2" s="1"/>
  <c r="AZ31" i="2" s="1"/>
  <c r="AT32" i="2" s="1"/>
  <c r="AZ32" i="2" s="1"/>
  <c r="AT33" i="2" s="1"/>
  <c r="AZ33" i="2" s="1"/>
  <c r="AT34" i="2" s="1"/>
  <c r="AZ34" i="2" s="1"/>
  <c r="AT35" i="2" s="1"/>
  <c r="AZ35" i="2" s="1"/>
  <c r="AT36" i="2" s="1"/>
  <c r="AZ36" i="2" s="1"/>
  <c r="I112" i="3"/>
  <c r="R22" i="2"/>
  <c r="X22" i="2" s="1"/>
  <c r="R23" i="2" s="1"/>
  <c r="X23" i="2" s="1"/>
  <c r="R24" i="2" s="1"/>
  <c r="X24" i="2" s="1"/>
  <c r="R25" i="2" s="1"/>
  <c r="X25" i="2" s="1"/>
  <c r="R26" i="2" s="1"/>
  <c r="X26" i="2" s="1"/>
  <c r="R27" i="2" s="1"/>
  <c r="X27" i="2" s="1"/>
  <c r="R28" i="2" s="1"/>
  <c r="X28" i="2" s="1"/>
  <c r="R29" i="2" s="1"/>
  <c r="X29" i="2" s="1"/>
  <c r="R30" i="2" s="1"/>
  <c r="X30" i="2" s="1"/>
  <c r="R31" i="2" s="1"/>
  <c r="X31" i="2" s="1"/>
  <c r="R32" i="2" s="1"/>
  <c r="X32" i="2" s="1"/>
  <c r="R33" i="2" s="1"/>
  <c r="X33" i="2" s="1"/>
  <c r="R34" i="2" s="1"/>
  <c r="X34" i="2" s="1"/>
  <c r="R35" i="2" s="1"/>
  <c r="X35" i="2" s="1"/>
  <c r="R36" i="2" s="1"/>
  <c r="X36" i="2" s="1"/>
  <c r="D110" i="3"/>
  <c r="J21" i="2"/>
  <c r="Q21" i="2"/>
  <c r="D111" i="3"/>
  <c r="AE21" i="2"/>
  <c r="D113" i="3"/>
  <c r="I113" i="3" l="1"/>
  <c r="Y22" i="2"/>
  <c r="AE22" i="2" s="1"/>
  <c r="Y23" i="2" s="1"/>
  <c r="AE23" i="2" s="1"/>
  <c r="Y24" i="2" s="1"/>
  <c r="AE24" i="2" s="1"/>
  <c r="Y25" i="2" s="1"/>
  <c r="AE25" i="2" s="1"/>
  <c r="Y26" i="2" s="1"/>
  <c r="AE26" i="2" s="1"/>
  <c r="Y27" i="2" s="1"/>
  <c r="AE27" i="2" s="1"/>
  <c r="Y28" i="2" s="1"/>
  <c r="AE28" i="2" s="1"/>
  <c r="Y29" i="2" s="1"/>
  <c r="AE29" i="2" s="1"/>
  <c r="Y30" i="2" s="1"/>
  <c r="AE30" i="2" s="1"/>
  <c r="Y31" i="2" s="1"/>
  <c r="AE31" i="2" s="1"/>
  <c r="Y32" i="2" s="1"/>
  <c r="AE32" i="2" s="1"/>
  <c r="Y33" i="2" s="1"/>
  <c r="AE33" i="2" s="1"/>
  <c r="Y34" i="2" s="1"/>
  <c r="AE34" i="2" s="1"/>
  <c r="Y35" i="2" s="1"/>
  <c r="AE35" i="2" s="1"/>
  <c r="Y36" i="2" s="1"/>
  <c r="AE36" i="2" s="1"/>
  <c r="I111" i="3"/>
  <c r="K22" i="2"/>
  <c r="Q22" i="2" s="1"/>
  <c r="K23" i="2" s="1"/>
  <c r="Q23" i="2" s="1"/>
  <c r="K24" i="2" s="1"/>
  <c r="Q24" i="2" s="1"/>
  <c r="K25" i="2" s="1"/>
  <c r="Q25" i="2" s="1"/>
  <c r="K26" i="2" s="1"/>
  <c r="Q26" i="2" s="1"/>
  <c r="K27" i="2" s="1"/>
  <c r="Q27" i="2" s="1"/>
  <c r="K28" i="2" s="1"/>
  <c r="Q28" i="2" s="1"/>
  <c r="K29" i="2" s="1"/>
  <c r="Q29" i="2" s="1"/>
  <c r="K30" i="2" s="1"/>
  <c r="Q30" i="2" s="1"/>
  <c r="K31" i="2" s="1"/>
  <c r="Q31" i="2" s="1"/>
  <c r="K32" i="2" s="1"/>
  <c r="Q32" i="2" s="1"/>
  <c r="K33" i="2" s="1"/>
  <c r="Q33" i="2" s="1"/>
  <c r="K34" i="2" s="1"/>
  <c r="Q34" i="2" s="1"/>
  <c r="K35" i="2" s="1"/>
  <c r="Q35" i="2" s="1"/>
  <c r="K36" i="2" s="1"/>
  <c r="Q36" i="2" s="1"/>
  <c r="I110" i="3"/>
  <c r="D22" i="2"/>
  <c r="J22" i="2" s="1"/>
  <c r="D23" i="2" s="1"/>
  <c r="J23" i="2" s="1"/>
  <c r="D24" i="2" s="1"/>
  <c r="J24" i="2" s="1"/>
  <c r="D25" i="2" s="1"/>
  <c r="J25" i="2" s="1"/>
  <c r="D26" i="2" s="1"/>
  <c r="J26" i="2" s="1"/>
  <c r="D27" i="2" s="1"/>
  <c r="J27" i="2" s="1"/>
  <c r="D28" i="2" s="1"/>
  <c r="J28" i="2" s="1"/>
  <c r="D29" i="2" s="1"/>
  <c r="J29" i="2" s="1"/>
  <c r="D30" i="2" s="1"/>
  <c r="J30" i="2" s="1"/>
  <c r="D31" i="2" s="1"/>
  <c r="J31" i="2" s="1"/>
  <c r="D32" i="2" s="1"/>
  <c r="J32" i="2" s="1"/>
  <c r="D33" i="2" s="1"/>
  <c r="J33" i="2" s="1"/>
  <c r="D34" i="2" s="1"/>
  <c r="J34" i="2" s="1"/>
  <c r="D35" i="2" s="1"/>
  <c r="J35" i="2" s="1"/>
  <c r="D36" i="2" s="1"/>
  <c r="J36" i="2" s="1"/>
</calcChain>
</file>

<file path=xl/sharedStrings.xml><?xml version="1.0" encoding="utf-8"?>
<sst xmlns="http://schemas.openxmlformats.org/spreadsheetml/2006/main" count="238" uniqueCount="90">
  <si>
    <t>PVZ.FLOW | Настройки</t>
  </si>
  <si>
    <t>Начало расчёта</t>
  </si>
  <si>
    <t>Окончание расчёта</t>
  </si>
  <si>
    <t>Бесплатных дней</t>
  </si>
  <si>
    <t>Товар</t>
  </si>
  <si>
    <t>Приёмка селлер</t>
  </si>
  <si>
    <t>Бренд селлер</t>
  </si>
  <si>
    <t>Упаковка селлер</t>
  </si>
  <si>
    <t>Сборка селлер</t>
  </si>
  <si>
    <t>Хранение</t>
  </si>
  <si>
    <t>Приёмка персонал</t>
  </si>
  <si>
    <t>Бренд персонал</t>
  </si>
  <si>
    <t>Упаковка персонал</t>
  </si>
  <si>
    <t>Сборка персонал</t>
  </si>
  <si>
    <t>АК-10</t>
  </si>
  <si>
    <t>АК-15</t>
  </si>
  <si>
    <t>Г 3500</t>
  </si>
  <si>
    <t>Г 1800</t>
  </si>
  <si>
    <t>Г 800</t>
  </si>
  <si>
    <t>Ми-К</t>
  </si>
  <si>
    <t>Ми-П</t>
  </si>
  <si>
    <t>Дата</t>
  </si>
  <si>
    <t>День</t>
  </si>
  <si>
    <t>Оператор</t>
  </si>
  <si>
    <t>Было</t>
  </si>
  <si>
    <t>Приход</t>
  </si>
  <si>
    <t>Возврат</t>
  </si>
  <si>
    <t>Корректировка</t>
  </si>
  <si>
    <t>Инв. корр.</t>
  </si>
  <si>
    <t>Выбытие</t>
  </si>
  <si>
    <t>Остаток</t>
  </si>
  <si>
    <t>ПН</t>
  </si>
  <si>
    <t>ВТ</t>
  </si>
  <si>
    <t>СР</t>
  </si>
  <si>
    <t>ЧТ</t>
  </si>
  <si>
    <t>ПТ</t>
  </si>
  <si>
    <t>СБ</t>
  </si>
  <si>
    <t>ВС</t>
  </si>
  <si>
    <t>Пузанов Д.В.</t>
  </si>
  <si>
    <t>Завалишин Д.Л.</t>
  </si>
  <si>
    <t>PVZ.FLOW | Обработка товаров</t>
  </si>
  <si>
    <t>Корректировки</t>
  </si>
  <si>
    <t>PVZ.FLOW | Фулфилмент</t>
  </si>
  <si>
    <t>Приёмка</t>
  </si>
  <si>
    <t>Брендирование</t>
  </si>
  <si>
    <t>Упаковка</t>
  </si>
  <si>
    <t>Сборка</t>
  </si>
  <si>
    <t>Итого</t>
  </si>
  <si>
    <t>PVZ.FLOW | Мотивация</t>
  </si>
  <si>
    <t>ИТОГО</t>
  </si>
  <si>
    <t>PVZ.FLOW | Капсульное хранение</t>
  </si>
  <si>
    <t>Одна капсула — одна строка. Начисление по вечернему остатку после FIFO.</t>
  </si>
  <si>
    <t>Капсула</t>
  </si>
  <si>
    <t>Первоначально</t>
  </si>
  <si>
    <t>Остаток 20.09</t>
  </si>
  <si>
    <t>14.09</t>
  </si>
  <si>
    <t>15.09</t>
  </si>
  <si>
    <t>16.09</t>
  </si>
  <si>
    <t>17.09</t>
  </si>
  <si>
    <t>18.09</t>
  </si>
  <si>
    <t>19.09</t>
  </si>
  <si>
    <t>20.09</t>
  </si>
  <si>
    <t>Шт.-дни</t>
  </si>
  <si>
    <t>Тариф</t>
  </si>
  <si>
    <t>Сумма</t>
  </si>
  <si>
    <t>03.09_АК-10</t>
  </si>
  <si>
    <t>07.09 корр._АК-10</t>
  </si>
  <si>
    <t>14.09_АК-10</t>
  </si>
  <si>
    <t>30.08_АК-15</t>
  </si>
  <si>
    <t>05.09_АК-15</t>
  </si>
  <si>
    <t>07.09 корр._АК-15</t>
  </si>
  <si>
    <t>10.09_АК-15</t>
  </si>
  <si>
    <t>07.09 корр._Г 3500</t>
  </si>
  <si>
    <t>13.09_Г 3500</t>
  </si>
  <si>
    <t>14.09_Г 3500</t>
  </si>
  <si>
    <t>10.09_Г 1800</t>
  </si>
  <si>
    <t>31.08_Г 800</t>
  </si>
  <si>
    <t>07.09_Г 800</t>
  </si>
  <si>
    <t>11.09_Г 800</t>
  </si>
  <si>
    <t>10.09_Ми-К</t>
  </si>
  <si>
    <t>14.09 возврат_Ми-К</t>
  </si>
  <si>
    <t>15.09_Ми-К</t>
  </si>
  <si>
    <t>10.09_Ми-П</t>
  </si>
  <si>
    <t>PVZ.FLOW | Свод 14–20 сентября</t>
  </si>
  <si>
    <t>Показатель</t>
  </si>
  <si>
    <t>Значение</t>
  </si>
  <si>
    <t>ФУЛФИЛМЕНТ — ИТОГО</t>
  </si>
  <si>
    <t>ИТОГО К ОПЛАТЕ</t>
  </si>
  <si>
    <t>Расход</t>
  </si>
  <si>
    <t>PVZ.FLOW | Канон движения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</si>
</sst>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\ \₽"/>
  </numFmts>
  <fonts count="8" x14ac:knownFonts="1">
    <font>
      <sz val="11"/>
      <color theme="1"/>
      <name val="Calibri"/>
      <family val="2"/>
      <scheme val="minor"/>
    </font>
    <font>
      <b/>
      <sz val="16"/>
      <color rgb="FF5A081E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5A081E"/>
      <name val="Calibri"/>
      <family val="2"/>
      <charset val="204"/>
      <scheme val="minor"/>
    </font>
    <font>
      <b/>
      <sz val="11"/>
      <color rgb="FFEEE5D6"/>
      <name val="Calibri"/>
      <family val="2"/>
      <scheme val="minor"/>
    </font>
    <font>
      <b/>
      <sz val="12"/>
      <color rgb="FF5A081E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A081E"/>
        <bgColor indexed="64"/>
      </patternFill>
    </fill>
    <fill>
      <patternFill patternType="solid">
        <fgColor rgb="FFE6DADD"/>
        <bgColor indexed="64"/>
      </patternFill>
    </fill>
    <fill>
      <patternFill patternType="solid">
        <fgColor rgb="FFEEE5D6"/>
        <bgColor indexed="64"/>
      </patternFill>
    </fill>
    <fill>
      <patternFill patternType="solid">
        <fgColor rgb="FFD6C1C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D995A"/>
      </bottom>
      <diagonal/>
    </border>
    <border>
      <left/>
      <right style="thin">
        <color rgb="FFBD995A"/>
      </right>
      <top/>
      <bottom style="thin">
        <color rgb="FFBD995A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0" fontId="0" fillId="0" borderId="0" xfId="0" applyBorder="1"/>
    <xf numFmtId="0" fontId="0" fillId="0" borderId="2" xfId="0" applyBorder="1"/>
    <xf numFmtId="164" fontId="0" fillId="0" borderId="2" xfId="0" applyNumberForma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14" fontId="0" fillId="0" borderId="0" xfId="0" applyNumberFormat="1" applyAlignment="1"/>
    <xf numFmtId="14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D6C1C7"/>
      <color rgb="FFEEE5D6"/>
      <color rgb="FFBD995A"/>
      <color rgb="FF5A08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0</xdr:rowOff>
    </xdr:from>
    <xdr:to>
      <xdr:col>15</xdr:col>
      <xdr:colOff>504063</xdr:colOff>
      <xdr:row>2</xdr:row>
      <xdr:rowOff>94869</xdr:rowOff>
    </xdr:to>
    <xdr:pic>
      <xdr:nvPicPr>
        <xdr:cNvPr id="2" name="Picture 1" descr="PVZ.FLOW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0"/>
          <a:ext cx="1109853" cy="4834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28575</xdr:colOff>
      <xdr:row>0</xdr:row>
      <xdr:rowOff>9525</xdr:rowOff>
    </xdr:from>
    <xdr:to>
      <xdr:col>51</xdr:col>
      <xdr:colOff>344805</xdr:colOff>
      <xdr:row>2</xdr:row>
      <xdr:rowOff>131538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870E1D25-9153-4A81-93F3-5251888D2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06725" y="9525"/>
          <a:ext cx="1383030" cy="5982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0</xdr:rowOff>
    </xdr:from>
    <xdr:to>
      <xdr:col>15</xdr:col>
      <xdr:colOff>507873</xdr:colOff>
      <xdr:row>2</xdr:row>
      <xdr:rowOff>94869</xdr:rowOff>
    </xdr:to>
    <xdr:pic>
      <xdr:nvPicPr>
        <xdr:cNvPr id="2" name="Picture 1" descr="PVZ.FLOW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10975" y="0"/>
          <a:ext cx="1109853" cy="48348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771525</xdr:colOff>
      <xdr:row>0</xdr:row>
      <xdr:rowOff>47625</xdr:rowOff>
    </xdr:from>
    <xdr:to>
      <xdr:col>9</xdr:col>
      <xdr:colOff>873633</xdr:colOff>
      <xdr:row>2</xdr:row>
      <xdr:rowOff>146304</xdr:rowOff>
    </xdr:to>
    <xdr:pic>
      <xdr:nvPicPr>
        <xdr:cNvPr id="2" name="Picture 1" descr="PVZ.FLOW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05925" y="47625"/>
          <a:ext cx="1111758" cy="54635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0</xdr:rowOff>
    </xdr:from>
    <xdr:to>
      <xdr:col>15</xdr:col>
      <xdr:colOff>500253</xdr:colOff>
      <xdr:row>2</xdr:row>
      <xdr:rowOff>102489</xdr:rowOff>
    </xdr:to>
    <xdr:pic>
      <xdr:nvPicPr>
        <xdr:cNvPr id="2" name="Picture 1" descr="PVZ.FLOW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87350" y="0"/>
          <a:ext cx="1109853" cy="48348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0</xdr:rowOff>
    </xdr:from>
    <xdr:to>
      <xdr:col>15</xdr:col>
      <xdr:colOff>195453</xdr:colOff>
      <xdr:row>2</xdr:row>
      <xdr:rowOff>102489</xdr:rowOff>
    </xdr:to>
    <xdr:pic>
      <xdr:nvPicPr>
        <xdr:cNvPr id="2" name="Picture 1" descr="PVZ.FLOW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01675" y="0"/>
          <a:ext cx="1109853" cy="48348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0</xdr:rowOff>
    </xdr:from>
    <xdr:to>
      <xdr:col>15</xdr:col>
      <xdr:colOff>500253</xdr:colOff>
      <xdr:row>2</xdr:row>
      <xdr:rowOff>102489</xdr:rowOff>
    </xdr:to>
    <xdr:pic>
      <xdr:nvPicPr>
        <xdr:cNvPr id="2" name="Picture 1" descr="PVZ.FLOW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0" y="0"/>
          <a:ext cx="1109853" cy="48348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Мотивации" displayName="ТаблицаМотивации" ref="A4:K54" totalsRowCount="1">
  <autoFilter ref="A4:K53" xr:uid="{00000000-0009-0000-0100-000001000000}"/>
  <tableColumns count="11">
    <tableColumn id="1" xr3:uid="{00000000-0010-0000-0000-000001000000}" name="Дата" totalsRowLabel="ИТОГО"/>
    <tableColumn id="2" xr3:uid="{00000000-0010-0000-0000-000002000000}" name="Оператор"/>
    <tableColumn id="3" xr3:uid="{00000000-0010-0000-0000-000003000000}" name="Товар"/>
    <tableColumn id="4" xr3:uid="{00000000-0010-0000-0000-000004000000}" name="Приход" totalsRowFunction="sum"/>
    <tableColumn id="5" xr3:uid="{00000000-0010-0000-0000-000005000000}" name="Возврат" totalsRowFunction="sum"/>
    <tableColumn id="6" xr3:uid="{00000000-0010-0000-0000-000006000000}" name="Выбытие" totalsRowFunction="sum"/>
    <tableColumn id="7" xr3:uid="{00000000-0010-0000-0000-000007000000}" name="Приёмка" totalsRowFunction="sum"/>
    <tableColumn id="8" xr3:uid="{00000000-0010-0000-0000-000008000000}" name="Брендирование" totalsRowFunction="sum"/>
    <tableColumn id="9" xr3:uid="{00000000-0010-0000-0000-000009000000}" name="Упаковка" totalsRowFunction="sum"/>
    <tableColumn id="10" xr3:uid="{00000000-0010-0000-0000-00000A000000}" name="Сборка" totalsRowFunction="sum"/>
    <tableColumn id="11" xr3:uid="{00000000-0010-0000-0000-00000B000000}" name="Итого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6"/>
  <sheetViews>
    <sheetView showGridLines="0" workbookViewId="0">
      <pane ySplit="4" topLeftCell="A5" activePane="bottomLeft" state="frozen"/>
      <selection pane="bottomLeft" activeCell="B6" sqref="B6"/>
    </sheetView>
  </sheetViews>
  <sheetFormatPr defaultRowHeight="14.4" x14ac:dyDescent="0.3"/>
  <cols>
    <col min="1" max="1" width="18.6640625" customWidth="1"/>
    <col min="2" max="10" width="16.6640625" customWidth="1"/>
  </cols>
  <sheetData>
    <row r="1" spans="1:10" ht="21" x14ac:dyDescent="0.4">
      <c r="A1" s="1" t="s">
        <v>0</v>
      </c>
    </row>
    <row r="4" spans="1:10" x14ac:dyDescent="0.3">
      <c r="A4" s="2" t="s">
        <v>1</v>
      </c>
      <c r="B4" s="3">
        <v>46286</v>
      </c>
    </row>
    <row r="5" spans="1:10" x14ac:dyDescent="0.3">
      <c r="A5" s="2" t="s">
        <v>2</v>
      </c>
      <c r="B5" s="3">
        <v>46287</v>
      </c>
    </row>
    <row r="6" spans="1:10" x14ac:dyDescent="0.3">
      <c r="A6" s="2" t="s">
        <v>3</v>
      </c>
      <c r="B6" s="4">
        <v>5</v>
      </c>
    </row>
    <row r="9" spans="1:10" ht="28.8" x14ac:dyDescent="0.3">
      <c r="A9" s="5" t="s">
        <v>4</v>
      </c>
      <c r="B9" s="5" t="s">
        <v>5</v>
      </c>
      <c r="C9" s="5" t="s">
        <v>6</v>
      </c>
      <c r="D9" s="5" t="s">
        <v>7</v>
      </c>
      <c r="E9" s="5" t="s">
        <v>8</v>
      </c>
      <c r="F9" s="5" t="s">
        <v>9</v>
      </c>
      <c r="G9" s="5" t="s">
        <v>10</v>
      </c>
      <c r="H9" s="5" t="s">
        <v>11</v>
      </c>
      <c r="I9" s="5" t="s">
        <v>12</v>
      </c>
      <c r="J9" s="5" t="s">
        <v>13</v>
      </c>
    </row>
    <row r="10" spans="1:10" x14ac:dyDescent="0.3">
      <c r="A10" s="2" t="s">
        <v>14</v>
      </c>
      <c r="B10" s="4">
        <v>10</v>
      </c>
      <c r="C10" s="4">
        <v>10</v>
      </c>
      <c r="D10" s="4">
        <v>20</v>
      </c>
      <c r="E10" s="4">
        <v>10</v>
      </c>
      <c r="F10" s="4">
        <v>0.35714285699999998</v>
      </c>
      <c r="G10" s="4">
        <v>1</v>
      </c>
      <c r="H10" s="4">
        <v>3</v>
      </c>
      <c r="I10" s="4">
        <v>6</v>
      </c>
      <c r="J10" s="4">
        <v>3</v>
      </c>
    </row>
    <row r="11" spans="1:10" x14ac:dyDescent="0.3">
      <c r="A11" s="2" t="s">
        <v>15</v>
      </c>
      <c r="B11" s="4">
        <v>10</v>
      </c>
      <c r="C11" s="4">
        <v>10</v>
      </c>
      <c r="D11" s="4">
        <v>20</v>
      </c>
      <c r="E11" s="4">
        <v>10</v>
      </c>
      <c r="F11" s="4">
        <v>0.35714285699999998</v>
      </c>
      <c r="G11" s="4">
        <v>1</v>
      </c>
      <c r="H11" s="4">
        <v>3</v>
      </c>
      <c r="I11" s="4">
        <v>6</v>
      </c>
      <c r="J11" s="4">
        <v>3</v>
      </c>
    </row>
    <row r="12" spans="1:10" x14ac:dyDescent="0.3">
      <c r="A12" s="2" t="s">
        <v>16</v>
      </c>
      <c r="B12" s="4">
        <v>10</v>
      </c>
      <c r="C12" s="4">
        <v>15</v>
      </c>
      <c r="D12" s="4">
        <v>35</v>
      </c>
      <c r="E12" s="4">
        <v>25</v>
      </c>
      <c r="F12" s="4">
        <v>5</v>
      </c>
      <c r="G12" s="4">
        <v>3</v>
      </c>
      <c r="H12" s="4">
        <v>6</v>
      </c>
      <c r="I12" s="4">
        <v>16</v>
      </c>
      <c r="J12" s="4">
        <v>12</v>
      </c>
    </row>
    <row r="13" spans="1:10" x14ac:dyDescent="0.3">
      <c r="A13" s="2" t="s">
        <v>17</v>
      </c>
      <c r="B13" s="4">
        <v>10</v>
      </c>
      <c r="C13" s="4">
        <v>10</v>
      </c>
      <c r="D13" s="4">
        <v>30</v>
      </c>
      <c r="E13" s="4">
        <v>15</v>
      </c>
      <c r="F13" s="4">
        <v>5</v>
      </c>
      <c r="G13" s="4">
        <v>2</v>
      </c>
      <c r="H13" s="4">
        <v>4</v>
      </c>
      <c r="I13" s="4">
        <v>12</v>
      </c>
      <c r="J13" s="4">
        <v>7</v>
      </c>
    </row>
    <row r="14" spans="1:10" x14ac:dyDescent="0.3">
      <c r="A14" s="2" t="s">
        <v>18</v>
      </c>
      <c r="B14" s="4">
        <v>10</v>
      </c>
      <c r="C14" s="4">
        <v>10</v>
      </c>
      <c r="D14" s="4">
        <v>30</v>
      </c>
      <c r="E14" s="4">
        <v>15</v>
      </c>
      <c r="F14" s="4">
        <v>5</v>
      </c>
      <c r="G14" s="4">
        <v>2</v>
      </c>
      <c r="H14" s="4">
        <v>4</v>
      </c>
      <c r="I14" s="4">
        <v>12</v>
      </c>
      <c r="J14" s="4">
        <v>7</v>
      </c>
    </row>
    <row r="15" spans="1:10" x14ac:dyDescent="0.3">
      <c r="A15" s="2" t="s">
        <v>19</v>
      </c>
      <c r="B15" s="4">
        <v>10</v>
      </c>
      <c r="C15" s="4">
        <v>0</v>
      </c>
      <c r="D15" s="4">
        <v>20</v>
      </c>
      <c r="E15" s="4">
        <v>10</v>
      </c>
      <c r="F15" s="4">
        <v>1.363636364</v>
      </c>
      <c r="G15" s="4">
        <v>1</v>
      </c>
      <c r="H15" s="4">
        <v>2</v>
      </c>
      <c r="I15" s="4">
        <v>5</v>
      </c>
      <c r="J15" s="4">
        <v>5</v>
      </c>
    </row>
    <row r="16" spans="1:10" x14ac:dyDescent="0.3">
      <c r="A16" s="2" t="s">
        <v>20</v>
      </c>
      <c r="B16" s="4">
        <v>10</v>
      </c>
      <c r="C16" s="4">
        <v>0</v>
      </c>
      <c r="D16" s="4">
        <v>20</v>
      </c>
      <c r="E16" s="4">
        <v>10</v>
      </c>
      <c r="F16" s="4">
        <v>0.16304347799999999</v>
      </c>
      <c r="G16" s="4">
        <v>1</v>
      </c>
      <c r="H16" s="4">
        <v>2</v>
      </c>
      <c r="I16" s="4">
        <v>5</v>
      </c>
      <c r="J16" s="4">
        <v>5</v>
      </c>
    </row>
  </sheetData>
  <pageMargins left="0.7" right="0.7" top="0.75" bottom="0.75" header="0.3" footer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Z38"/>
  <sheetViews>
    <sheetView showGridLines="0" workbookViewId="0">
      <selection activeCell="D6" sqref="D6"/>
    </sheetView>
  </sheetViews>
  <sheetFormatPr defaultRowHeight="14.4" x14ac:dyDescent="0.3"/>
  <cols>
    <col min="1" max="1" width="12" customWidth="1"/>
    <col min="2" max="2" width="6.109375" customWidth="1"/>
    <col min="3" max="3" width="16.109375" customWidth="1"/>
    <col min="4" max="5" width="7.77734375" customWidth="1"/>
    <col min="6" max="8" width="11.6640625" hidden="1" customWidth="1"/>
    <col min="9" max="12" width="7.77734375" customWidth="1"/>
    <col min="13" max="15" width="8.77734375" hidden="1" customWidth="1"/>
    <col min="16" max="19" width="7.77734375" customWidth="1"/>
    <col min="20" max="22" width="11.6640625" hidden="1" customWidth="1"/>
    <col min="23" max="26" width="7.77734375" customWidth="1"/>
    <col min="27" max="29" width="11.6640625" hidden="1" customWidth="1"/>
    <col min="30" max="33" width="7.77734375" customWidth="1"/>
    <col min="34" max="36" width="11.6640625" hidden="1" customWidth="1"/>
    <col min="37" max="40" width="7.77734375" customWidth="1"/>
    <col min="41" max="43" width="11.6640625" hidden="1" customWidth="1"/>
    <col min="44" max="47" width="7.77734375" customWidth="1"/>
    <col min="48" max="50" width="11.6640625" hidden="1" customWidth="1"/>
    <col min="51" max="52" width="7.77734375" customWidth="1"/>
  </cols>
  <sheetData>
    <row r="1" spans="1:52" ht="21" x14ac:dyDescent="0.4">
      <c r="A1" s="1" t="s">
        <v>89</v>
      </c>
    </row>
    <row r="2" spans="1:52" ht="15.6" x14ac:dyDescent="0.3">
      <c r="A2" s="25">
        <f>Настройки!B4</f>
        <v>46286</v>
      </c>
      <c r="B2" s="25"/>
      <c r="C2" s="24">
        <f>Настройки!B5</f>
        <v>46287</v>
      </c>
      <c r="F2" s="23"/>
      <c r="G2" s="23"/>
      <c r="H2" s="23"/>
      <c r="I2" s="23"/>
    </row>
    <row r="4" spans="1:52" x14ac:dyDescent="0.3">
      <c r="A4" s="20" t="s">
        <v>21</v>
      </c>
      <c r="B4" s="20" t="s">
        <v>22</v>
      </c>
      <c r="C4" s="20" t="s">
        <v>23</v>
      </c>
      <c r="D4" s="20" t="s">
        <v>14</v>
      </c>
      <c r="E4" s="20"/>
      <c r="F4" s="20"/>
      <c r="G4" s="20"/>
      <c r="H4" s="20"/>
      <c r="I4" s="20"/>
      <c r="J4" s="20"/>
      <c r="K4" s="20" t="s">
        <v>15</v>
      </c>
      <c r="L4" s="20"/>
      <c r="M4" s="20"/>
      <c r="N4" s="20"/>
      <c r="O4" s="20"/>
      <c r="P4" s="20"/>
      <c r="Q4" s="20"/>
      <c r="R4" s="20" t="s">
        <v>16</v>
      </c>
      <c r="S4" s="20"/>
      <c r="T4" s="20"/>
      <c r="U4" s="20"/>
      <c r="V4" s="20"/>
      <c r="W4" s="20"/>
      <c r="X4" s="20"/>
      <c r="Y4" s="20" t="s">
        <v>17</v>
      </c>
      <c r="Z4" s="20"/>
      <c r="AA4" s="20"/>
      <c r="AB4" s="20"/>
      <c r="AC4" s="20"/>
      <c r="AD4" s="20"/>
      <c r="AE4" s="20"/>
      <c r="AF4" s="20" t="s">
        <v>18</v>
      </c>
      <c r="AG4" s="20"/>
      <c r="AH4" s="20"/>
      <c r="AI4" s="20"/>
      <c r="AJ4" s="20"/>
      <c r="AK4" s="20"/>
      <c r="AL4" s="20"/>
      <c r="AM4" s="20" t="s">
        <v>19</v>
      </c>
      <c r="AN4" s="20"/>
      <c r="AO4" s="20"/>
      <c r="AP4" s="20"/>
      <c r="AQ4" s="20"/>
      <c r="AR4" s="20"/>
      <c r="AS4" s="20"/>
      <c r="AT4" s="20" t="s">
        <v>20</v>
      </c>
      <c r="AU4" s="20"/>
      <c r="AV4" s="20"/>
      <c r="AW4" s="20"/>
      <c r="AX4" s="20"/>
      <c r="AY4" s="20"/>
      <c r="AZ4" s="20"/>
    </row>
    <row r="5" spans="1:52" ht="14.4" customHeight="1" x14ac:dyDescent="0.3">
      <c r="A5" s="20"/>
      <c r="B5" s="20"/>
      <c r="C5" s="20"/>
      <c r="D5" s="21" t="s">
        <v>24</v>
      </c>
      <c r="E5" s="21" t="s">
        <v>25</v>
      </c>
      <c r="F5" s="21" t="s">
        <v>26</v>
      </c>
      <c r="G5" s="21" t="s">
        <v>27</v>
      </c>
      <c r="H5" s="21" t="s">
        <v>28</v>
      </c>
      <c r="I5" s="21" t="s">
        <v>88</v>
      </c>
      <c r="J5" s="21" t="s">
        <v>30</v>
      </c>
      <c r="K5" s="21" t="s">
        <v>24</v>
      </c>
      <c r="L5" s="21" t="s">
        <v>25</v>
      </c>
      <c r="M5" s="21" t="s">
        <v>26</v>
      </c>
      <c r="N5" s="21" t="s">
        <v>27</v>
      </c>
      <c r="O5" s="21" t="s">
        <v>28</v>
      </c>
      <c r="P5" s="21" t="s">
        <v>88</v>
      </c>
      <c r="Q5" s="21" t="s">
        <v>30</v>
      </c>
      <c r="R5" s="21" t="s">
        <v>24</v>
      </c>
      <c r="S5" s="21" t="s">
        <v>25</v>
      </c>
      <c r="T5" s="21" t="s">
        <v>26</v>
      </c>
      <c r="U5" s="21" t="s">
        <v>27</v>
      </c>
      <c r="V5" s="21" t="s">
        <v>28</v>
      </c>
      <c r="W5" s="21" t="s">
        <v>88</v>
      </c>
      <c r="X5" s="21" t="s">
        <v>30</v>
      </c>
      <c r="Y5" s="21" t="s">
        <v>24</v>
      </c>
      <c r="Z5" s="21" t="s">
        <v>25</v>
      </c>
      <c r="AA5" s="21" t="s">
        <v>26</v>
      </c>
      <c r="AB5" s="21" t="s">
        <v>27</v>
      </c>
      <c r="AC5" s="21" t="s">
        <v>28</v>
      </c>
      <c r="AD5" s="21" t="s">
        <v>88</v>
      </c>
      <c r="AE5" s="21" t="s">
        <v>30</v>
      </c>
      <c r="AF5" s="21" t="s">
        <v>24</v>
      </c>
      <c r="AG5" s="21" t="s">
        <v>25</v>
      </c>
      <c r="AH5" s="21" t="s">
        <v>26</v>
      </c>
      <c r="AI5" s="21" t="s">
        <v>27</v>
      </c>
      <c r="AJ5" s="21" t="s">
        <v>28</v>
      </c>
      <c r="AK5" s="21" t="s">
        <v>88</v>
      </c>
      <c r="AL5" s="21" t="s">
        <v>30</v>
      </c>
      <c r="AM5" s="21" t="s">
        <v>24</v>
      </c>
      <c r="AN5" s="21" t="s">
        <v>25</v>
      </c>
      <c r="AO5" s="21" t="s">
        <v>26</v>
      </c>
      <c r="AP5" s="21" t="s">
        <v>27</v>
      </c>
      <c r="AQ5" s="21" t="s">
        <v>28</v>
      </c>
      <c r="AR5" s="21" t="s">
        <v>88</v>
      </c>
      <c r="AS5" s="21" t="s">
        <v>30</v>
      </c>
      <c r="AT5" s="21" t="s">
        <v>24</v>
      </c>
      <c r="AU5" s="21" t="s">
        <v>25</v>
      </c>
      <c r="AV5" s="21" t="s">
        <v>26</v>
      </c>
      <c r="AW5" s="21" t="s">
        <v>27</v>
      </c>
      <c r="AX5" s="21" t="s">
        <v>28</v>
      </c>
      <c r="AY5" s="21" t="s">
        <v>88</v>
      </c>
      <c r="AZ5" s="21" t="s">
        <v>30</v>
      </c>
    </row>
    <row r="6" spans="1:52" x14ac:dyDescent="0.3">
      <c r="A6" s="14">
        <v>46272</v>
      </c>
      <c r="B6" s="15" t="s">
        <v>31</v>
      </c>
      <c r="C6" s="16" t="s">
        <v>38</v>
      </c>
      <c r="D6" s="17">
        <v>18</v>
      </c>
      <c r="E6" s="19">
        <v>0</v>
      </c>
      <c r="F6" s="18">
        <v>0</v>
      </c>
      <c r="G6" s="18">
        <v>13</v>
      </c>
      <c r="H6" s="18">
        <v>0</v>
      </c>
      <c r="I6" s="22">
        <v>0</v>
      </c>
      <c r="J6" s="17">
        <f t="shared" ref="J6:J36" si="0">D6+E6+F6+G6+H6-I6</f>
        <v>31</v>
      </c>
      <c r="K6" s="17">
        <v>24</v>
      </c>
      <c r="L6" s="19">
        <v>0</v>
      </c>
      <c r="M6" s="18">
        <v>0</v>
      </c>
      <c r="N6" s="18">
        <v>14</v>
      </c>
      <c r="O6" s="18">
        <v>0</v>
      </c>
      <c r="P6" s="22">
        <v>0</v>
      </c>
      <c r="Q6" s="17">
        <f t="shared" ref="Q6:Q36" si="1">K6+L6+M6+N6+O6-P6</f>
        <v>38</v>
      </c>
      <c r="R6" s="17">
        <v>3</v>
      </c>
      <c r="S6" s="19">
        <v>0</v>
      </c>
      <c r="T6" s="18">
        <v>0</v>
      </c>
      <c r="U6" s="18">
        <v>1</v>
      </c>
      <c r="V6" s="18">
        <v>0</v>
      </c>
      <c r="W6" s="22">
        <v>0</v>
      </c>
      <c r="X6" s="17">
        <f t="shared" ref="X6:X36" si="2">R6+S6+T6+U6+V6-W6</f>
        <v>4</v>
      </c>
      <c r="Y6" s="17">
        <v>66</v>
      </c>
      <c r="Z6" s="19">
        <v>3</v>
      </c>
      <c r="AA6" s="18">
        <v>0</v>
      </c>
      <c r="AB6" s="18">
        <v>-22</v>
      </c>
      <c r="AC6" s="18">
        <v>0</v>
      </c>
      <c r="AD6" s="22">
        <v>3</v>
      </c>
      <c r="AE6" s="17">
        <f t="shared" ref="AE6:AE36" si="3">Y6+Z6+AA6+AB6+AC6-AD6</f>
        <v>44</v>
      </c>
      <c r="AF6" s="17">
        <v>39</v>
      </c>
      <c r="AG6" s="19">
        <v>2</v>
      </c>
      <c r="AH6" s="18">
        <v>0</v>
      </c>
      <c r="AI6" s="18">
        <v>-1</v>
      </c>
      <c r="AJ6" s="18">
        <v>0</v>
      </c>
      <c r="AK6" s="22">
        <v>2</v>
      </c>
      <c r="AL6" s="17">
        <f t="shared" ref="AL6:AL21" si="4">AF6+AG6+AH6+AI6+AJ6-AK6</f>
        <v>38</v>
      </c>
      <c r="AM6" s="17">
        <v>17</v>
      </c>
      <c r="AN6" s="19">
        <v>1</v>
      </c>
      <c r="AO6" s="18">
        <v>0</v>
      </c>
      <c r="AP6" s="18">
        <v>-12</v>
      </c>
      <c r="AQ6" s="18">
        <v>0</v>
      </c>
      <c r="AR6" s="22">
        <v>1</v>
      </c>
      <c r="AS6" s="17">
        <f t="shared" ref="AS6:AS36" si="5">AM6+AN6+AO6+AP6+AQ6-AR6</f>
        <v>5</v>
      </c>
      <c r="AT6" s="17">
        <v>0</v>
      </c>
      <c r="AU6" s="19">
        <v>0</v>
      </c>
      <c r="AV6" s="18">
        <v>0</v>
      </c>
      <c r="AW6" s="18">
        <v>0</v>
      </c>
      <c r="AX6" s="18">
        <v>0</v>
      </c>
      <c r="AY6" s="22">
        <v>0</v>
      </c>
      <c r="AZ6" s="17">
        <f t="shared" ref="AZ6:AZ36" si="6">AT6+AU6+AV6+AW6+AX6-AY6</f>
        <v>0</v>
      </c>
    </row>
    <row r="7" spans="1:52" x14ac:dyDescent="0.3">
      <c r="A7" s="14">
        <v>46273</v>
      </c>
      <c r="B7" s="15" t="s">
        <v>32</v>
      </c>
      <c r="C7" s="16" t="s">
        <v>39</v>
      </c>
      <c r="D7" s="17">
        <f t="shared" ref="D7:D36" si="7">J6</f>
        <v>31</v>
      </c>
      <c r="E7" s="19">
        <v>0</v>
      </c>
      <c r="F7" s="18">
        <v>0</v>
      </c>
      <c r="G7" s="18">
        <v>0</v>
      </c>
      <c r="H7" s="18">
        <v>0</v>
      </c>
      <c r="I7" s="22">
        <v>1</v>
      </c>
      <c r="J7" s="17">
        <f t="shared" si="0"/>
        <v>30</v>
      </c>
      <c r="K7" s="17">
        <f t="shared" ref="K7:K36" si="8">Q6</f>
        <v>38</v>
      </c>
      <c r="L7" s="19">
        <v>0</v>
      </c>
      <c r="M7" s="18">
        <v>0</v>
      </c>
      <c r="N7" s="18">
        <v>0</v>
      </c>
      <c r="O7" s="18">
        <v>0</v>
      </c>
      <c r="P7" s="22">
        <v>1</v>
      </c>
      <c r="Q7" s="17">
        <f t="shared" si="1"/>
        <v>37</v>
      </c>
      <c r="R7" s="17">
        <f t="shared" ref="R7:R36" si="9">X6</f>
        <v>4</v>
      </c>
      <c r="S7" s="19">
        <v>0</v>
      </c>
      <c r="T7" s="18">
        <v>0</v>
      </c>
      <c r="U7" s="18">
        <v>0</v>
      </c>
      <c r="V7" s="18">
        <v>0</v>
      </c>
      <c r="W7" s="22">
        <v>0</v>
      </c>
      <c r="X7" s="17">
        <f t="shared" si="2"/>
        <v>4</v>
      </c>
      <c r="Y7" s="17">
        <f t="shared" ref="Y7:Y36" si="10">AE6</f>
        <v>44</v>
      </c>
      <c r="Z7" s="19">
        <v>0</v>
      </c>
      <c r="AA7" s="18">
        <v>0</v>
      </c>
      <c r="AB7" s="18">
        <v>0</v>
      </c>
      <c r="AC7" s="18">
        <v>0</v>
      </c>
      <c r="AD7" s="22">
        <v>11</v>
      </c>
      <c r="AE7" s="17">
        <f t="shared" si="3"/>
        <v>33</v>
      </c>
      <c r="AF7" s="17">
        <f t="shared" ref="AF7:AF36" si="11">AL6</f>
        <v>38</v>
      </c>
      <c r="AG7" s="19">
        <v>0</v>
      </c>
      <c r="AH7" s="18">
        <v>0</v>
      </c>
      <c r="AI7" s="18">
        <v>0</v>
      </c>
      <c r="AJ7" s="18">
        <v>0</v>
      </c>
      <c r="AK7" s="22">
        <v>3</v>
      </c>
      <c r="AL7" s="17">
        <f t="shared" si="4"/>
        <v>35</v>
      </c>
      <c r="AM7" s="17">
        <f t="shared" ref="AM7:AM21" si="12">AS6</f>
        <v>5</v>
      </c>
      <c r="AN7" s="19">
        <v>0</v>
      </c>
      <c r="AO7" s="18">
        <v>0</v>
      </c>
      <c r="AP7" s="18">
        <v>0</v>
      </c>
      <c r="AQ7" s="18">
        <v>0</v>
      </c>
      <c r="AR7" s="22">
        <v>0</v>
      </c>
      <c r="AS7" s="17">
        <f t="shared" si="5"/>
        <v>5</v>
      </c>
      <c r="AT7" s="17">
        <f t="shared" ref="AT7:AT36" si="13">AZ6</f>
        <v>0</v>
      </c>
      <c r="AU7" s="19">
        <v>0</v>
      </c>
      <c r="AV7" s="18">
        <v>0</v>
      </c>
      <c r="AW7" s="18">
        <v>0</v>
      </c>
      <c r="AX7" s="18">
        <v>0</v>
      </c>
      <c r="AY7" s="22">
        <v>0</v>
      </c>
      <c r="AZ7" s="17">
        <f t="shared" si="6"/>
        <v>0</v>
      </c>
    </row>
    <row r="8" spans="1:52" x14ac:dyDescent="0.3">
      <c r="A8" s="14">
        <v>46274</v>
      </c>
      <c r="B8" s="15" t="s">
        <v>33</v>
      </c>
      <c r="C8" s="16" t="s">
        <v>39</v>
      </c>
      <c r="D8" s="17">
        <f t="shared" si="7"/>
        <v>30</v>
      </c>
      <c r="E8" s="19">
        <v>0</v>
      </c>
      <c r="F8" s="18">
        <v>0</v>
      </c>
      <c r="G8" s="18">
        <v>0</v>
      </c>
      <c r="H8" s="18">
        <v>0</v>
      </c>
      <c r="I8" s="22">
        <v>0</v>
      </c>
      <c r="J8" s="17">
        <f t="shared" si="0"/>
        <v>30</v>
      </c>
      <c r="K8" s="17">
        <f t="shared" si="8"/>
        <v>37</v>
      </c>
      <c r="L8" s="19">
        <v>0</v>
      </c>
      <c r="M8" s="18">
        <v>0</v>
      </c>
      <c r="N8" s="18">
        <v>0</v>
      </c>
      <c r="O8" s="18">
        <v>0</v>
      </c>
      <c r="P8" s="22">
        <v>1</v>
      </c>
      <c r="Q8" s="17">
        <f t="shared" si="1"/>
        <v>36</v>
      </c>
      <c r="R8" s="17">
        <f t="shared" si="9"/>
        <v>4</v>
      </c>
      <c r="S8" s="19">
        <v>0</v>
      </c>
      <c r="T8" s="18">
        <v>0</v>
      </c>
      <c r="U8" s="18">
        <v>0</v>
      </c>
      <c r="V8" s="18">
        <v>0</v>
      </c>
      <c r="W8" s="22">
        <v>0</v>
      </c>
      <c r="X8" s="17">
        <f t="shared" si="2"/>
        <v>4</v>
      </c>
      <c r="Y8" s="17">
        <f t="shared" si="10"/>
        <v>33</v>
      </c>
      <c r="Z8" s="19">
        <v>0</v>
      </c>
      <c r="AA8" s="18">
        <v>0</v>
      </c>
      <c r="AB8" s="18">
        <v>0</v>
      </c>
      <c r="AC8" s="18">
        <v>0</v>
      </c>
      <c r="AD8" s="22">
        <v>8</v>
      </c>
      <c r="AE8" s="17">
        <f t="shared" si="3"/>
        <v>25</v>
      </c>
      <c r="AF8" s="17">
        <f t="shared" si="11"/>
        <v>35</v>
      </c>
      <c r="AG8" s="19">
        <v>0</v>
      </c>
      <c r="AH8" s="18">
        <v>0</v>
      </c>
      <c r="AI8" s="18">
        <v>0</v>
      </c>
      <c r="AJ8" s="18">
        <v>0</v>
      </c>
      <c r="AK8" s="22">
        <v>5</v>
      </c>
      <c r="AL8" s="17">
        <f t="shared" si="4"/>
        <v>30</v>
      </c>
      <c r="AM8" s="17">
        <f t="shared" si="12"/>
        <v>5</v>
      </c>
      <c r="AN8" s="19">
        <v>0</v>
      </c>
      <c r="AO8" s="18">
        <v>0</v>
      </c>
      <c r="AP8" s="18">
        <v>0</v>
      </c>
      <c r="AQ8" s="18">
        <v>0</v>
      </c>
      <c r="AR8" s="22">
        <v>1</v>
      </c>
      <c r="AS8" s="17">
        <f t="shared" si="5"/>
        <v>4</v>
      </c>
      <c r="AT8" s="17">
        <f t="shared" si="13"/>
        <v>0</v>
      </c>
      <c r="AU8" s="19">
        <v>0</v>
      </c>
      <c r="AV8" s="18">
        <v>0</v>
      </c>
      <c r="AW8" s="18">
        <v>0</v>
      </c>
      <c r="AX8" s="18">
        <v>0</v>
      </c>
      <c r="AY8" s="22">
        <v>0</v>
      </c>
      <c r="AZ8" s="17">
        <f t="shared" si="6"/>
        <v>0</v>
      </c>
    </row>
    <row r="9" spans="1:52" x14ac:dyDescent="0.3">
      <c r="A9" s="14">
        <v>46275</v>
      </c>
      <c r="B9" s="15" t="s">
        <v>34</v>
      </c>
      <c r="C9" s="16" t="s">
        <v>39</v>
      </c>
      <c r="D9" s="17">
        <f t="shared" si="7"/>
        <v>30</v>
      </c>
      <c r="E9" s="19">
        <v>0</v>
      </c>
      <c r="F9" s="18">
        <v>0</v>
      </c>
      <c r="G9" s="18">
        <v>0</v>
      </c>
      <c r="H9" s="18">
        <v>0</v>
      </c>
      <c r="I9" s="22">
        <v>0</v>
      </c>
      <c r="J9" s="17">
        <f t="shared" si="0"/>
        <v>30</v>
      </c>
      <c r="K9" s="17">
        <f t="shared" si="8"/>
        <v>36</v>
      </c>
      <c r="L9" s="19">
        <v>10</v>
      </c>
      <c r="M9" s="18">
        <v>0</v>
      </c>
      <c r="N9" s="18">
        <v>0</v>
      </c>
      <c r="O9" s="18">
        <v>0</v>
      </c>
      <c r="P9" s="22">
        <v>0</v>
      </c>
      <c r="Q9" s="17">
        <f t="shared" si="1"/>
        <v>46</v>
      </c>
      <c r="R9" s="17">
        <f t="shared" si="9"/>
        <v>4</v>
      </c>
      <c r="S9" s="19">
        <v>2</v>
      </c>
      <c r="T9" s="18">
        <v>0</v>
      </c>
      <c r="U9" s="18">
        <v>0</v>
      </c>
      <c r="V9" s="18">
        <v>0</v>
      </c>
      <c r="W9" s="22">
        <v>0</v>
      </c>
      <c r="X9" s="17">
        <f t="shared" si="2"/>
        <v>6</v>
      </c>
      <c r="Y9" s="17">
        <f t="shared" si="10"/>
        <v>25</v>
      </c>
      <c r="Z9" s="19">
        <v>129</v>
      </c>
      <c r="AA9" s="18">
        <v>0</v>
      </c>
      <c r="AB9" s="18">
        <v>0</v>
      </c>
      <c r="AC9" s="18">
        <v>0</v>
      </c>
      <c r="AD9" s="22">
        <v>10</v>
      </c>
      <c r="AE9" s="17">
        <f t="shared" si="3"/>
        <v>144</v>
      </c>
      <c r="AF9" s="17">
        <f t="shared" si="11"/>
        <v>30</v>
      </c>
      <c r="AG9" s="19">
        <v>0</v>
      </c>
      <c r="AH9" s="18">
        <v>0</v>
      </c>
      <c r="AI9" s="18">
        <v>0</v>
      </c>
      <c r="AJ9" s="18">
        <v>0</v>
      </c>
      <c r="AK9" s="22">
        <v>8</v>
      </c>
      <c r="AL9" s="17">
        <f t="shared" si="4"/>
        <v>22</v>
      </c>
      <c r="AM9" s="17">
        <f t="shared" si="12"/>
        <v>4</v>
      </c>
      <c r="AN9" s="19">
        <v>10</v>
      </c>
      <c r="AO9" s="18">
        <v>0</v>
      </c>
      <c r="AP9" s="18">
        <v>0</v>
      </c>
      <c r="AQ9" s="18">
        <v>0</v>
      </c>
      <c r="AR9" s="22">
        <v>1</v>
      </c>
      <c r="AS9" s="17">
        <f t="shared" si="5"/>
        <v>13</v>
      </c>
      <c r="AT9" s="17">
        <f t="shared" si="13"/>
        <v>0</v>
      </c>
      <c r="AU9" s="19">
        <v>27</v>
      </c>
      <c r="AV9" s="18">
        <v>0</v>
      </c>
      <c r="AW9" s="18">
        <v>-2</v>
      </c>
      <c r="AX9" s="18">
        <v>0</v>
      </c>
      <c r="AY9" s="22">
        <v>1</v>
      </c>
      <c r="AZ9" s="17">
        <f t="shared" si="6"/>
        <v>24</v>
      </c>
    </row>
    <row r="10" spans="1:52" x14ac:dyDescent="0.3">
      <c r="A10" s="14">
        <v>46276</v>
      </c>
      <c r="B10" s="15" t="s">
        <v>35</v>
      </c>
      <c r="C10" s="16" t="s">
        <v>38</v>
      </c>
      <c r="D10" s="17">
        <f t="shared" si="7"/>
        <v>30</v>
      </c>
      <c r="E10" s="19">
        <v>0</v>
      </c>
      <c r="F10" s="18">
        <v>0</v>
      </c>
      <c r="G10" s="18">
        <v>0</v>
      </c>
      <c r="H10" s="18">
        <v>0</v>
      </c>
      <c r="I10" s="22">
        <v>5</v>
      </c>
      <c r="J10" s="17">
        <f t="shared" si="0"/>
        <v>25</v>
      </c>
      <c r="K10" s="17">
        <f t="shared" si="8"/>
        <v>46</v>
      </c>
      <c r="L10" s="19">
        <v>0</v>
      </c>
      <c r="M10" s="18">
        <v>0</v>
      </c>
      <c r="N10" s="18">
        <v>0</v>
      </c>
      <c r="O10" s="18">
        <v>0</v>
      </c>
      <c r="P10" s="22">
        <v>2</v>
      </c>
      <c r="Q10" s="17">
        <f t="shared" si="1"/>
        <v>44</v>
      </c>
      <c r="R10" s="17">
        <f t="shared" si="9"/>
        <v>6</v>
      </c>
      <c r="S10" s="19">
        <v>0</v>
      </c>
      <c r="T10" s="18">
        <v>0</v>
      </c>
      <c r="U10" s="18">
        <v>0</v>
      </c>
      <c r="V10" s="18">
        <v>0</v>
      </c>
      <c r="W10" s="22">
        <v>2</v>
      </c>
      <c r="X10" s="17">
        <f t="shared" si="2"/>
        <v>4</v>
      </c>
      <c r="Y10" s="17">
        <f t="shared" si="10"/>
        <v>144</v>
      </c>
      <c r="Z10" s="19">
        <v>0</v>
      </c>
      <c r="AA10" s="18">
        <v>0</v>
      </c>
      <c r="AB10" s="18">
        <v>0</v>
      </c>
      <c r="AC10" s="18">
        <v>0</v>
      </c>
      <c r="AD10" s="22">
        <v>12</v>
      </c>
      <c r="AE10" s="17">
        <f t="shared" si="3"/>
        <v>132</v>
      </c>
      <c r="AF10" s="17">
        <f t="shared" si="11"/>
        <v>22</v>
      </c>
      <c r="AG10" s="19">
        <v>64</v>
      </c>
      <c r="AH10" s="18">
        <v>0</v>
      </c>
      <c r="AI10" s="18">
        <v>0</v>
      </c>
      <c r="AJ10" s="18">
        <v>0</v>
      </c>
      <c r="AK10" s="22">
        <v>4</v>
      </c>
      <c r="AL10" s="17">
        <f t="shared" si="4"/>
        <v>82</v>
      </c>
      <c r="AM10" s="17">
        <f t="shared" si="12"/>
        <v>13</v>
      </c>
      <c r="AN10" s="19">
        <v>0</v>
      </c>
      <c r="AO10" s="18">
        <v>0</v>
      </c>
      <c r="AP10" s="18">
        <v>0</v>
      </c>
      <c r="AQ10" s="18">
        <v>0</v>
      </c>
      <c r="AR10" s="22">
        <v>6</v>
      </c>
      <c r="AS10" s="17">
        <f t="shared" si="5"/>
        <v>7</v>
      </c>
      <c r="AT10" s="17">
        <f t="shared" si="13"/>
        <v>24</v>
      </c>
      <c r="AU10" s="19">
        <v>0</v>
      </c>
      <c r="AV10" s="18">
        <v>0</v>
      </c>
      <c r="AW10" s="18">
        <v>0</v>
      </c>
      <c r="AX10" s="18">
        <v>0</v>
      </c>
      <c r="AY10" s="22">
        <v>1</v>
      </c>
      <c r="AZ10" s="17">
        <f t="shared" si="6"/>
        <v>23</v>
      </c>
    </row>
    <row r="11" spans="1:52" x14ac:dyDescent="0.3">
      <c r="A11" s="14">
        <v>46277</v>
      </c>
      <c r="B11" s="15" t="s">
        <v>36</v>
      </c>
      <c r="C11" s="16" t="s">
        <v>39</v>
      </c>
      <c r="D11" s="17">
        <f t="shared" si="7"/>
        <v>25</v>
      </c>
      <c r="E11" s="19">
        <v>0</v>
      </c>
      <c r="F11" s="18">
        <v>0</v>
      </c>
      <c r="G11" s="18">
        <v>0</v>
      </c>
      <c r="H11" s="18">
        <v>0</v>
      </c>
      <c r="I11" s="22">
        <v>1</v>
      </c>
      <c r="J11" s="17">
        <f t="shared" si="0"/>
        <v>24</v>
      </c>
      <c r="K11" s="17">
        <f t="shared" si="8"/>
        <v>44</v>
      </c>
      <c r="L11" s="19">
        <v>0</v>
      </c>
      <c r="M11" s="18">
        <v>0</v>
      </c>
      <c r="N11" s="18">
        <v>0</v>
      </c>
      <c r="O11" s="18">
        <v>0</v>
      </c>
      <c r="P11" s="22">
        <v>2</v>
      </c>
      <c r="Q11" s="17">
        <f t="shared" si="1"/>
        <v>42</v>
      </c>
      <c r="R11" s="17">
        <f t="shared" si="9"/>
        <v>4</v>
      </c>
      <c r="S11" s="19">
        <v>0</v>
      </c>
      <c r="T11" s="18">
        <v>0</v>
      </c>
      <c r="U11" s="18">
        <v>0</v>
      </c>
      <c r="V11" s="18">
        <v>0</v>
      </c>
      <c r="W11" s="22">
        <v>1</v>
      </c>
      <c r="X11" s="17">
        <f t="shared" si="2"/>
        <v>3</v>
      </c>
      <c r="Y11" s="17">
        <f t="shared" si="10"/>
        <v>132</v>
      </c>
      <c r="Z11" s="19">
        <v>0</v>
      </c>
      <c r="AA11" s="18">
        <v>0</v>
      </c>
      <c r="AB11" s="18">
        <v>0</v>
      </c>
      <c r="AC11" s="18">
        <v>0</v>
      </c>
      <c r="AD11" s="22">
        <v>5</v>
      </c>
      <c r="AE11" s="17">
        <f t="shared" si="3"/>
        <v>127</v>
      </c>
      <c r="AF11" s="17">
        <f t="shared" si="11"/>
        <v>82</v>
      </c>
      <c r="AG11" s="19">
        <v>0</v>
      </c>
      <c r="AH11" s="18">
        <v>0</v>
      </c>
      <c r="AI11" s="18">
        <v>0</v>
      </c>
      <c r="AJ11" s="18">
        <v>0</v>
      </c>
      <c r="AK11" s="22">
        <v>8</v>
      </c>
      <c r="AL11" s="17">
        <f t="shared" si="4"/>
        <v>74</v>
      </c>
      <c r="AM11" s="17">
        <f t="shared" si="12"/>
        <v>7</v>
      </c>
      <c r="AN11" s="19">
        <v>0</v>
      </c>
      <c r="AO11" s="18">
        <v>0</v>
      </c>
      <c r="AP11" s="18">
        <v>0</v>
      </c>
      <c r="AQ11" s="18">
        <v>0</v>
      </c>
      <c r="AR11" s="22">
        <v>4</v>
      </c>
      <c r="AS11" s="17">
        <f t="shared" si="5"/>
        <v>3</v>
      </c>
      <c r="AT11" s="17">
        <f t="shared" si="13"/>
        <v>23</v>
      </c>
      <c r="AU11" s="19">
        <v>0</v>
      </c>
      <c r="AV11" s="18">
        <v>0</v>
      </c>
      <c r="AW11" s="18">
        <v>0</v>
      </c>
      <c r="AX11" s="18">
        <v>0</v>
      </c>
      <c r="AY11" s="22">
        <v>1</v>
      </c>
      <c r="AZ11" s="17">
        <f t="shared" si="6"/>
        <v>22</v>
      </c>
    </row>
    <row r="12" spans="1:52" x14ac:dyDescent="0.3">
      <c r="A12" s="14">
        <v>46278</v>
      </c>
      <c r="B12" s="15" t="s">
        <v>37</v>
      </c>
      <c r="C12" s="16" t="s">
        <v>39</v>
      </c>
      <c r="D12" s="17">
        <f t="shared" si="7"/>
        <v>24</v>
      </c>
      <c r="E12" s="19">
        <v>0</v>
      </c>
      <c r="F12" s="18">
        <v>0</v>
      </c>
      <c r="G12" s="18">
        <v>0</v>
      </c>
      <c r="H12" s="18">
        <v>0</v>
      </c>
      <c r="I12" s="22">
        <v>4</v>
      </c>
      <c r="J12" s="17">
        <f t="shared" si="0"/>
        <v>20</v>
      </c>
      <c r="K12" s="17">
        <f t="shared" si="8"/>
        <v>42</v>
      </c>
      <c r="L12" s="19">
        <v>0</v>
      </c>
      <c r="M12" s="18">
        <v>0</v>
      </c>
      <c r="N12" s="18">
        <v>0</v>
      </c>
      <c r="O12" s="18">
        <v>0</v>
      </c>
      <c r="P12" s="22">
        <v>2</v>
      </c>
      <c r="Q12" s="17">
        <f t="shared" si="1"/>
        <v>40</v>
      </c>
      <c r="R12" s="17">
        <f t="shared" si="9"/>
        <v>3</v>
      </c>
      <c r="S12" s="19">
        <v>2</v>
      </c>
      <c r="T12" s="18">
        <v>0</v>
      </c>
      <c r="U12" s="18">
        <v>0</v>
      </c>
      <c r="V12" s="18">
        <v>0</v>
      </c>
      <c r="W12" s="22">
        <v>2</v>
      </c>
      <c r="X12" s="17">
        <f t="shared" si="2"/>
        <v>3</v>
      </c>
      <c r="Y12" s="17">
        <f t="shared" si="10"/>
        <v>127</v>
      </c>
      <c r="Z12" s="19">
        <v>0</v>
      </c>
      <c r="AA12" s="18">
        <v>0</v>
      </c>
      <c r="AB12" s="18">
        <v>0</v>
      </c>
      <c r="AC12" s="18">
        <v>0</v>
      </c>
      <c r="AD12" s="22">
        <v>2</v>
      </c>
      <c r="AE12" s="17">
        <f t="shared" si="3"/>
        <v>125</v>
      </c>
      <c r="AF12" s="17">
        <f t="shared" si="11"/>
        <v>74</v>
      </c>
      <c r="AG12" s="19">
        <v>0</v>
      </c>
      <c r="AH12" s="18">
        <v>0</v>
      </c>
      <c r="AI12" s="18">
        <v>0</v>
      </c>
      <c r="AJ12" s="18">
        <v>0</v>
      </c>
      <c r="AK12" s="22">
        <v>4</v>
      </c>
      <c r="AL12" s="17">
        <f t="shared" si="4"/>
        <v>70</v>
      </c>
      <c r="AM12" s="17">
        <f t="shared" si="12"/>
        <v>3</v>
      </c>
      <c r="AN12" s="19">
        <v>0</v>
      </c>
      <c r="AO12" s="18">
        <v>0</v>
      </c>
      <c r="AP12" s="18">
        <v>0</v>
      </c>
      <c r="AQ12" s="18">
        <v>0</v>
      </c>
      <c r="AR12" s="22">
        <v>0</v>
      </c>
      <c r="AS12" s="17">
        <f t="shared" si="5"/>
        <v>3</v>
      </c>
      <c r="AT12" s="17">
        <f t="shared" si="13"/>
        <v>22</v>
      </c>
      <c r="AU12" s="19">
        <v>0</v>
      </c>
      <c r="AV12" s="18">
        <v>0</v>
      </c>
      <c r="AW12" s="18">
        <v>0</v>
      </c>
      <c r="AX12" s="18">
        <v>0</v>
      </c>
      <c r="AY12" s="22">
        <v>0</v>
      </c>
      <c r="AZ12" s="17">
        <f t="shared" si="6"/>
        <v>22</v>
      </c>
    </row>
    <row r="13" spans="1:52" x14ac:dyDescent="0.3">
      <c r="A13" s="14">
        <v>46279</v>
      </c>
      <c r="B13" s="15" t="s">
        <v>31</v>
      </c>
      <c r="C13" s="16" t="s">
        <v>38</v>
      </c>
      <c r="D13" s="17">
        <f t="shared" si="7"/>
        <v>20</v>
      </c>
      <c r="E13" s="19">
        <v>15</v>
      </c>
      <c r="F13" s="18">
        <v>0</v>
      </c>
      <c r="G13" s="18">
        <v>0</v>
      </c>
      <c r="H13" s="18">
        <v>0</v>
      </c>
      <c r="I13" s="22">
        <v>2</v>
      </c>
      <c r="J13" s="17">
        <f t="shared" si="0"/>
        <v>33</v>
      </c>
      <c r="K13" s="17">
        <f t="shared" si="8"/>
        <v>40</v>
      </c>
      <c r="L13" s="19">
        <v>0</v>
      </c>
      <c r="M13" s="18">
        <v>0</v>
      </c>
      <c r="N13" s="18">
        <v>0</v>
      </c>
      <c r="O13" s="18">
        <v>0</v>
      </c>
      <c r="P13" s="22">
        <v>2</v>
      </c>
      <c r="Q13" s="17">
        <f t="shared" si="1"/>
        <v>38</v>
      </c>
      <c r="R13" s="17">
        <f t="shared" si="9"/>
        <v>3</v>
      </c>
      <c r="S13" s="19">
        <v>14</v>
      </c>
      <c r="T13" s="18">
        <v>0</v>
      </c>
      <c r="U13" s="18">
        <v>0</v>
      </c>
      <c r="V13" s="18">
        <v>0</v>
      </c>
      <c r="W13" s="22">
        <v>0</v>
      </c>
      <c r="X13" s="17">
        <f t="shared" si="2"/>
        <v>17</v>
      </c>
      <c r="Y13" s="17">
        <f t="shared" si="10"/>
        <v>125</v>
      </c>
      <c r="Z13" s="19">
        <v>0</v>
      </c>
      <c r="AA13" s="18">
        <v>0</v>
      </c>
      <c r="AB13" s="18">
        <v>0</v>
      </c>
      <c r="AC13" s="18">
        <v>0</v>
      </c>
      <c r="AD13" s="22">
        <v>8</v>
      </c>
      <c r="AE13" s="17">
        <f t="shared" si="3"/>
        <v>117</v>
      </c>
      <c r="AF13" s="17">
        <f t="shared" si="11"/>
        <v>70</v>
      </c>
      <c r="AG13" s="19">
        <v>0</v>
      </c>
      <c r="AH13" s="18">
        <v>0</v>
      </c>
      <c r="AI13" s="18">
        <v>0</v>
      </c>
      <c r="AJ13" s="18">
        <v>0</v>
      </c>
      <c r="AK13" s="22">
        <v>9</v>
      </c>
      <c r="AL13" s="17">
        <f t="shared" si="4"/>
        <v>61</v>
      </c>
      <c r="AM13" s="17">
        <f t="shared" si="12"/>
        <v>3</v>
      </c>
      <c r="AN13" s="19">
        <v>0</v>
      </c>
      <c r="AO13" s="18">
        <v>1</v>
      </c>
      <c r="AP13" s="18">
        <v>0</v>
      </c>
      <c r="AQ13" s="18">
        <v>0</v>
      </c>
      <c r="AR13" s="22">
        <v>4</v>
      </c>
      <c r="AS13" s="17">
        <f t="shared" si="5"/>
        <v>0</v>
      </c>
      <c r="AT13" s="17">
        <f t="shared" si="13"/>
        <v>22</v>
      </c>
      <c r="AU13" s="19">
        <v>0</v>
      </c>
      <c r="AV13" s="18">
        <v>0</v>
      </c>
      <c r="AW13" s="18">
        <v>0</v>
      </c>
      <c r="AX13" s="18">
        <v>0</v>
      </c>
      <c r="AY13" s="22">
        <v>1</v>
      </c>
      <c r="AZ13" s="17">
        <f t="shared" si="6"/>
        <v>21</v>
      </c>
    </row>
    <row r="14" spans="1:52" x14ac:dyDescent="0.3">
      <c r="A14" s="14">
        <v>46280</v>
      </c>
      <c r="B14" s="15" t="s">
        <v>32</v>
      </c>
      <c r="C14" s="16" t="s">
        <v>39</v>
      </c>
      <c r="D14" s="17">
        <f t="shared" si="7"/>
        <v>33</v>
      </c>
      <c r="E14" s="19">
        <v>0</v>
      </c>
      <c r="F14" s="18">
        <v>0</v>
      </c>
      <c r="G14" s="18">
        <v>0</v>
      </c>
      <c r="H14" s="18">
        <v>0</v>
      </c>
      <c r="I14" s="22">
        <v>0</v>
      </c>
      <c r="J14" s="17">
        <f t="shared" si="0"/>
        <v>33</v>
      </c>
      <c r="K14" s="17">
        <f t="shared" si="8"/>
        <v>38</v>
      </c>
      <c r="L14" s="19">
        <v>0</v>
      </c>
      <c r="M14" s="18">
        <v>0</v>
      </c>
      <c r="N14" s="18">
        <v>0</v>
      </c>
      <c r="O14" s="18">
        <v>0</v>
      </c>
      <c r="P14" s="22">
        <v>1</v>
      </c>
      <c r="Q14" s="17">
        <f t="shared" si="1"/>
        <v>37</v>
      </c>
      <c r="R14" s="17">
        <f t="shared" si="9"/>
        <v>17</v>
      </c>
      <c r="S14" s="19">
        <v>0</v>
      </c>
      <c r="T14" s="18">
        <v>0</v>
      </c>
      <c r="U14" s="18">
        <v>0</v>
      </c>
      <c r="V14" s="18">
        <v>0</v>
      </c>
      <c r="W14" s="22">
        <v>1</v>
      </c>
      <c r="X14" s="17">
        <f t="shared" si="2"/>
        <v>16</v>
      </c>
      <c r="Y14" s="17">
        <f t="shared" si="10"/>
        <v>117</v>
      </c>
      <c r="Z14" s="19">
        <v>0</v>
      </c>
      <c r="AA14" s="18">
        <v>0</v>
      </c>
      <c r="AB14" s="18">
        <v>0</v>
      </c>
      <c r="AC14" s="18">
        <v>0</v>
      </c>
      <c r="AD14" s="22">
        <v>11</v>
      </c>
      <c r="AE14" s="17">
        <f t="shared" si="3"/>
        <v>106</v>
      </c>
      <c r="AF14" s="17">
        <f t="shared" si="11"/>
        <v>61</v>
      </c>
      <c r="AG14" s="19">
        <v>0</v>
      </c>
      <c r="AH14" s="18">
        <v>0</v>
      </c>
      <c r="AI14" s="18">
        <v>0</v>
      </c>
      <c r="AJ14" s="18">
        <v>0</v>
      </c>
      <c r="AK14" s="22">
        <v>7</v>
      </c>
      <c r="AL14" s="17">
        <f t="shared" si="4"/>
        <v>54</v>
      </c>
      <c r="AM14" s="17">
        <f t="shared" si="12"/>
        <v>0</v>
      </c>
      <c r="AN14" s="19">
        <v>20</v>
      </c>
      <c r="AO14" s="18">
        <v>0</v>
      </c>
      <c r="AP14" s="18">
        <v>0</v>
      </c>
      <c r="AQ14" s="18">
        <v>0</v>
      </c>
      <c r="AR14" s="22">
        <v>4</v>
      </c>
      <c r="AS14" s="17">
        <f t="shared" si="5"/>
        <v>16</v>
      </c>
      <c r="AT14" s="17">
        <f t="shared" si="13"/>
        <v>21</v>
      </c>
      <c r="AU14" s="19">
        <v>0</v>
      </c>
      <c r="AV14" s="18">
        <v>0</v>
      </c>
      <c r="AW14" s="18">
        <v>0</v>
      </c>
      <c r="AX14" s="18">
        <v>0</v>
      </c>
      <c r="AY14" s="22">
        <v>1</v>
      </c>
      <c r="AZ14" s="17">
        <f t="shared" si="6"/>
        <v>20</v>
      </c>
    </row>
    <row r="15" spans="1:52" x14ac:dyDescent="0.3">
      <c r="A15" s="14">
        <v>46281</v>
      </c>
      <c r="B15" s="15" t="s">
        <v>33</v>
      </c>
      <c r="C15" s="16" t="s">
        <v>39</v>
      </c>
      <c r="D15" s="17">
        <f t="shared" si="7"/>
        <v>33</v>
      </c>
      <c r="E15" s="19">
        <v>0</v>
      </c>
      <c r="F15" s="18">
        <v>0</v>
      </c>
      <c r="G15" s="18">
        <v>0</v>
      </c>
      <c r="H15" s="18">
        <v>0</v>
      </c>
      <c r="I15" s="22">
        <v>1</v>
      </c>
      <c r="J15" s="17">
        <f t="shared" si="0"/>
        <v>32</v>
      </c>
      <c r="K15" s="17">
        <f t="shared" si="8"/>
        <v>37</v>
      </c>
      <c r="L15" s="19">
        <v>0</v>
      </c>
      <c r="M15" s="18">
        <v>0</v>
      </c>
      <c r="N15" s="18">
        <v>0</v>
      </c>
      <c r="O15" s="18">
        <v>0</v>
      </c>
      <c r="P15" s="22">
        <v>3</v>
      </c>
      <c r="Q15" s="17">
        <f t="shared" si="1"/>
        <v>34</v>
      </c>
      <c r="R15" s="17">
        <f t="shared" si="9"/>
        <v>16</v>
      </c>
      <c r="S15" s="19">
        <v>0</v>
      </c>
      <c r="T15" s="18">
        <v>0</v>
      </c>
      <c r="U15" s="18">
        <v>0</v>
      </c>
      <c r="V15" s="18">
        <v>0</v>
      </c>
      <c r="W15" s="22">
        <v>0</v>
      </c>
      <c r="X15" s="17">
        <f t="shared" si="2"/>
        <v>16</v>
      </c>
      <c r="Y15" s="17">
        <f t="shared" si="10"/>
        <v>106</v>
      </c>
      <c r="Z15" s="19">
        <v>0</v>
      </c>
      <c r="AA15" s="18">
        <v>0</v>
      </c>
      <c r="AB15" s="18">
        <v>0</v>
      </c>
      <c r="AC15" s="18">
        <v>0</v>
      </c>
      <c r="AD15" s="22">
        <v>13</v>
      </c>
      <c r="AE15" s="17">
        <f t="shared" si="3"/>
        <v>93</v>
      </c>
      <c r="AF15" s="17">
        <f t="shared" si="11"/>
        <v>54</v>
      </c>
      <c r="AG15" s="19">
        <v>0</v>
      </c>
      <c r="AH15" s="18">
        <v>0</v>
      </c>
      <c r="AI15" s="18">
        <v>0</v>
      </c>
      <c r="AJ15" s="18">
        <v>0</v>
      </c>
      <c r="AK15" s="22">
        <v>12</v>
      </c>
      <c r="AL15" s="17">
        <f t="shared" si="4"/>
        <v>42</v>
      </c>
      <c r="AM15" s="17">
        <f t="shared" si="12"/>
        <v>16</v>
      </c>
      <c r="AN15" s="19">
        <v>0</v>
      </c>
      <c r="AO15" s="18">
        <v>0</v>
      </c>
      <c r="AP15" s="18">
        <v>0</v>
      </c>
      <c r="AQ15" s="18">
        <v>0</v>
      </c>
      <c r="AR15" s="22">
        <v>0</v>
      </c>
      <c r="AS15" s="17">
        <f t="shared" si="5"/>
        <v>16</v>
      </c>
      <c r="AT15" s="17">
        <f t="shared" si="13"/>
        <v>20</v>
      </c>
      <c r="AU15" s="19">
        <v>0</v>
      </c>
      <c r="AV15" s="18">
        <v>0</v>
      </c>
      <c r="AW15" s="18">
        <v>0</v>
      </c>
      <c r="AX15" s="18">
        <v>0</v>
      </c>
      <c r="AY15" s="22">
        <v>1</v>
      </c>
      <c r="AZ15" s="17">
        <f t="shared" si="6"/>
        <v>19</v>
      </c>
    </row>
    <row r="16" spans="1:52" x14ac:dyDescent="0.3">
      <c r="A16" s="14">
        <v>46282</v>
      </c>
      <c r="B16" s="15" t="s">
        <v>34</v>
      </c>
      <c r="C16" s="16" t="s">
        <v>39</v>
      </c>
      <c r="D16" s="17">
        <f t="shared" si="7"/>
        <v>32</v>
      </c>
      <c r="E16" s="19">
        <v>0</v>
      </c>
      <c r="F16" s="18">
        <v>0</v>
      </c>
      <c r="G16" s="18">
        <v>0</v>
      </c>
      <c r="H16" s="18">
        <v>0</v>
      </c>
      <c r="I16" s="22">
        <v>1</v>
      </c>
      <c r="J16" s="17">
        <f t="shared" si="0"/>
        <v>31</v>
      </c>
      <c r="K16" s="17">
        <f t="shared" si="8"/>
        <v>34</v>
      </c>
      <c r="L16" s="19">
        <v>0</v>
      </c>
      <c r="M16" s="18">
        <v>0</v>
      </c>
      <c r="N16" s="18">
        <v>0</v>
      </c>
      <c r="O16" s="18">
        <v>0</v>
      </c>
      <c r="P16" s="22">
        <v>3</v>
      </c>
      <c r="Q16" s="17">
        <f t="shared" si="1"/>
        <v>31</v>
      </c>
      <c r="R16" s="17">
        <f t="shared" si="9"/>
        <v>16</v>
      </c>
      <c r="S16" s="19">
        <v>0</v>
      </c>
      <c r="T16" s="18">
        <v>0</v>
      </c>
      <c r="U16" s="18">
        <v>0</v>
      </c>
      <c r="V16" s="18">
        <v>0</v>
      </c>
      <c r="W16" s="22">
        <v>0</v>
      </c>
      <c r="X16" s="17">
        <f t="shared" si="2"/>
        <v>16</v>
      </c>
      <c r="Y16" s="17">
        <f t="shared" si="10"/>
        <v>93</v>
      </c>
      <c r="Z16" s="19">
        <v>0</v>
      </c>
      <c r="AA16" s="18">
        <v>0</v>
      </c>
      <c r="AB16" s="18">
        <v>0</v>
      </c>
      <c r="AC16" s="18">
        <v>0</v>
      </c>
      <c r="AD16" s="22">
        <v>13</v>
      </c>
      <c r="AE16" s="17">
        <f t="shared" si="3"/>
        <v>80</v>
      </c>
      <c r="AF16" s="17">
        <f t="shared" si="11"/>
        <v>42</v>
      </c>
      <c r="AG16" s="19">
        <v>0</v>
      </c>
      <c r="AH16" s="18">
        <v>0</v>
      </c>
      <c r="AI16" s="18">
        <v>0</v>
      </c>
      <c r="AJ16" s="18">
        <v>0</v>
      </c>
      <c r="AK16" s="22">
        <v>3</v>
      </c>
      <c r="AL16" s="17">
        <f t="shared" si="4"/>
        <v>39</v>
      </c>
      <c r="AM16" s="17">
        <f t="shared" si="12"/>
        <v>16</v>
      </c>
      <c r="AN16" s="19">
        <v>0</v>
      </c>
      <c r="AO16" s="18">
        <v>0</v>
      </c>
      <c r="AP16" s="18">
        <v>0</v>
      </c>
      <c r="AQ16" s="18">
        <v>0</v>
      </c>
      <c r="AR16" s="22">
        <v>1</v>
      </c>
      <c r="AS16" s="17">
        <f t="shared" si="5"/>
        <v>15</v>
      </c>
      <c r="AT16" s="17">
        <f t="shared" si="13"/>
        <v>19</v>
      </c>
      <c r="AU16" s="19">
        <v>0</v>
      </c>
      <c r="AV16" s="18">
        <v>0</v>
      </c>
      <c r="AW16" s="18">
        <v>0</v>
      </c>
      <c r="AX16" s="18">
        <v>0</v>
      </c>
      <c r="AY16" s="22">
        <v>2</v>
      </c>
      <c r="AZ16" s="17">
        <f t="shared" si="6"/>
        <v>17</v>
      </c>
    </row>
    <row r="17" spans="1:52" x14ac:dyDescent="0.3">
      <c r="A17" s="14">
        <v>46283</v>
      </c>
      <c r="B17" s="15" t="s">
        <v>35</v>
      </c>
      <c r="C17" s="16" t="s">
        <v>38</v>
      </c>
      <c r="D17" s="17">
        <f t="shared" si="7"/>
        <v>31</v>
      </c>
      <c r="E17" s="19">
        <v>0</v>
      </c>
      <c r="F17" s="18">
        <v>0</v>
      </c>
      <c r="G17" s="18">
        <v>0</v>
      </c>
      <c r="H17" s="18">
        <v>0</v>
      </c>
      <c r="I17" s="22">
        <v>1</v>
      </c>
      <c r="J17" s="17">
        <f t="shared" si="0"/>
        <v>30</v>
      </c>
      <c r="K17" s="17">
        <f t="shared" si="8"/>
        <v>31</v>
      </c>
      <c r="L17" s="19">
        <v>0</v>
      </c>
      <c r="M17" s="18">
        <v>0</v>
      </c>
      <c r="N17" s="18">
        <v>0</v>
      </c>
      <c r="O17" s="18">
        <v>0</v>
      </c>
      <c r="P17" s="22">
        <v>1</v>
      </c>
      <c r="Q17" s="17">
        <f t="shared" si="1"/>
        <v>30</v>
      </c>
      <c r="R17" s="17">
        <f t="shared" si="9"/>
        <v>16</v>
      </c>
      <c r="S17" s="19">
        <v>0</v>
      </c>
      <c r="T17" s="18">
        <v>0</v>
      </c>
      <c r="U17" s="18">
        <v>0</v>
      </c>
      <c r="V17" s="18">
        <v>0</v>
      </c>
      <c r="W17" s="22">
        <v>1</v>
      </c>
      <c r="X17" s="17">
        <f t="shared" si="2"/>
        <v>15</v>
      </c>
      <c r="Y17" s="17">
        <f t="shared" si="10"/>
        <v>80</v>
      </c>
      <c r="Z17" s="19">
        <v>0</v>
      </c>
      <c r="AA17" s="18">
        <v>0</v>
      </c>
      <c r="AB17" s="18">
        <v>0</v>
      </c>
      <c r="AC17" s="18">
        <v>0</v>
      </c>
      <c r="AD17" s="22">
        <v>13</v>
      </c>
      <c r="AE17" s="17">
        <f t="shared" si="3"/>
        <v>67</v>
      </c>
      <c r="AF17" s="17">
        <f t="shared" si="11"/>
        <v>39</v>
      </c>
      <c r="AG17" s="19">
        <v>0</v>
      </c>
      <c r="AH17" s="18">
        <v>0</v>
      </c>
      <c r="AI17" s="18">
        <v>0</v>
      </c>
      <c r="AJ17" s="18">
        <v>0</v>
      </c>
      <c r="AK17" s="22">
        <v>4</v>
      </c>
      <c r="AL17" s="17">
        <f t="shared" si="4"/>
        <v>35</v>
      </c>
      <c r="AM17" s="17">
        <f t="shared" si="12"/>
        <v>15</v>
      </c>
      <c r="AN17" s="19">
        <v>0</v>
      </c>
      <c r="AO17" s="18">
        <v>0</v>
      </c>
      <c r="AP17" s="18">
        <v>0</v>
      </c>
      <c r="AQ17" s="18">
        <v>0</v>
      </c>
      <c r="AR17" s="22">
        <v>0</v>
      </c>
      <c r="AS17" s="17">
        <f t="shared" si="5"/>
        <v>15</v>
      </c>
      <c r="AT17" s="17">
        <f t="shared" si="13"/>
        <v>17</v>
      </c>
      <c r="AU17" s="19">
        <v>0</v>
      </c>
      <c r="AV17" s="18">
        <v>0</v>
      </c>
      <c r="AW17" s="18">
        <v>0</v>
      </c>
      <c r="AX17" s="18">
        <v>0</v>
      </c>
      <c r="AY17" s="22">
        <v>0</v>
      </c>
      <c r="AZ17" s="17">
        <f t="shared" si="6"/>
        <v>17</v>
      </c>
    </row>
    <row r="18" spans="1:52" x14ac:dyDescent="0.3">
      <c r="A18" s="14">
        <v>46284</v>
      </c>
      <c r="B18" s="15" t="s">
        <v>36</v>
      </c>
      <c r="C18" s="16" t="s">
        <v>39</v>
      </c>
      <c r="D18" s="17">
        <f t="shared" si="7"/>
        <v>30</v>
      </c>
      <c r="E18" s="19">
        <v>0</v>
      </c>
      <c r="F18" s="18">
        <v>0</v>
      </c>
      <c r="G18" s="18">
        <v>0</v>
      </c>
      <c r="H18" s="18">
        <v>0</v>
      </c>
      <c r="I18" s="22">
        <v>0</v>
      </c>
      <c r="J18" s="17">
        <f t="shared" si="0"/>
        <v>30</v>
      </c>
      <c r="K18" s="17">
        <f t="shared" si="8"/>
        <v>30</v>
      </c>
      <c r="L18" s="19">
        <v>0</v>
      </c>
      <c r="M18" s="18">
        <v>0</v>
      </c>
      <c r="N18" s="18">
        <v>0</v>
      </c>
      <c r="O18" s="18">
        <v>0</v>
      </c>
      <c r="P18" s="22">
        <v>0</v>
      </c>
      <c r="Q18" s="17">
        <f t="shared" si="1"/>
        <v>30</v>
      </c>
      <c r="R18" s="17">
        <f t="shared" si="9"/>
        <v>15</v>
      </c>
      <c r="S18" s="19">
        <v>0</v>
      </c>
      <c r="T18" s="18">
        <v>0</v>
      </c>
      <c r="U18" s="18">
        <v>0</v>
      </c>
      <c r="V18" s="18">
        <v>0</v>
      </c>
      <c r="W18" s="22">
        <v>0</v>
      </c>
      <c r="X18" s="17">
        <f t="shared" si="2"/>
        <v>15</v>
      </c>
      <c r="Y18" s="17">
        <f t="shared" si="10"/>
        <v>67</v>
      </c>
      <c r="Z18" s="19">
        <v>0</v>
      </c>
      <c r="AA18" s="18">
        <v>0</v>
      </c>
      <c r="AB18" s="18">
        <v>0</v>
      </c>
      <c r="AC18" s="18">
        <v>0</v>
      </c>
      <c r="AD18" s="22">
        <v>15</v>
      </c>
      <c r="AE18" s="17">
        <f t="shared" si="3"/>
        <v>52</v>
      </c>
      <c r="AF18" s="17">
        <f t="shared" si="11"/>
        <v>35</v>
      </c>
      <c r="AG18" s="19">
        <v>0</v>
      </c>
      <c r="AH18" s="18">
        <v>0</v>
      </c>
      <c r="AI18" s="18">
        <v>0</v>
      </c>
      <c r="AJ18" s="18">
        <v>0</v>
      </c>
      <c r="AK18" s="22">
        <v>7</v>
      </c>
      <c r="AL18" s="17">
        <f t="shared" si="4"/>
        <v>28</v>
      </c>
      <c r="AM18" s="17">
        <f t="shared" si="12"/>
        <v>15</v>
      </c>
      <c r="AN18" s="19">
        <v>0</v>
      </c>
      <c r="AO18" s="18">
        <v>0</v>
      </c>
      <c r="AP18" s="18">
        <v>0</v>
      </c>
      <c r="AQ18" s="18">
        <v>0</v>
      </c>
      <c r="AR18" s="22">
        <v>0</v>
      </c>
      <c r="AS18" s="17">
        <f t="shared" si="5"/>
        <v>15</v>
      </c>
      <c r="AT18" s="17">
        <f t="shared" si="13"/>
        <v>17</v>
      </c>
      <c r="AU18" s="19">
        <v>0</v>
      </c>
      <c r="AV18" s="18">
        <v>0</v>
      </c>
      <c r="AW18" s="18">
        <v>0</v>
      </c>
      <c r="AX18" s="18">
        <v>0</v>
      </c>
      <c r="AY18" s="22">
        <v>0</v>
      </c>
      <c r="AZ18" s="17">
        <f t="shared" si="6"/>
        <v>17</v>
      </c>
    </row>
    <row r="19" spans="1:52" x14ac:dyDescent="0.3">
      <c r="A19" s="14">
        <v>46285</v>
      </c>
      <c r="B19" s="15" t="s">
        <v>37</v>
      </c>
      <c r="C19" s="16" t="s">
        <v>39</v>
      </c>
      <c r="D19" s="17">
        <f t="shared" si="7"/>
        <v>30</v>
      </c>
      <c r="E19" s="19">
        <v>0</v>
      </c>
      <c r="F19" s="18">
        <v>0</v>
      </c>
      <c r="G19" s="18">
        <v>0</v>
      </c>
      <c r="H19" s="18">
        <v>0</v>
      </c>
      <c r="I19" s="22">
        <v>3</v>
      </c>
      <c r="J19" s="17">
        <f t="shared" si="0"/>
        <v>27</v>
      </c>
      <c r="K19" s="17">
        <f t="shared" si="8"/>
        <v>30</v>
      </c>
      <c r="L19" s="19">
        <v>0</v>
      </c>
      <c r="M19" s="18">
        <v>0</v>
      </c>
      <c r="N19" s="18">
        <v>0</v>
      </c>
      <c r="O19" s="18">
        <v>0</v>
      </c>
      <c r="P19" s="22">
        <v>3</v>
      </c>
      <c r="Q19" s="17">
        <f t="shared" si="1"/>
        <v>27</v>
      </c>
      <c r="R19" s="17">
        <f t="shared" si="9"/>
        <v>15</v>
      </c>
      <c r="S19" s="19">
        <v>0</v>
      </c>
      <c r="T19" s="18">
        <v>0</v>
      </c>
      <c r="U19" s="18">
        <v>0</v>
      </c>
      <c r="V19" s="18">
        <v>0</v>
      </c>
      <c r="W19" s="22">
        <v>2</v>
      </c>
      <c r="X19" s="17">
        <f t="shared" si="2"/>
        <v>13</v>
      </c>
      <c r="Y19" s="17">
        <f t="shared" si="10"/>
        <v>52</v>
      </c>
      <c r="Z19" s="19">
        <v>0</v>
      </c>
      <c r="AA19" s="18">
        <v>0</v>
      </c>
      <c r="AB19" s="18">
        <v>0</v>
      </c>
      <c r="AC19" s="18">
        <v>0</v>
      </c>
      <c r="AD19" s="22">
        <v>13</v>
      </c>
      <c r="AE19" s="17">
        <f t="shared" si="3"/>
        <v>39</v>
      </c>
      <c r="AF19" s="17">
        <f t="shared" si="11"/>
        <v>28</v>
      </c>
      <c r="AG19" s="19">
        <v>0</v>
      </c>
      <c r="AH19" s="18">
        <v>0</v>
      </c>
      <c r="AI19" s="18">
        <v>0</v>
      </c>
      <c r="AJ19" s="18">
        <v>0</v>
      </c>
      <c r="AK19" s="22">
        <v>8</v>
      </c>
      <c r="AL19" s="17">
        <f t="shared" si="4"/>
        <v>20</v>
      </c>
      <c r="AM19" s="17">
        <f t="shared" si="12"/>
        <v>15</v>
      </c>
      <c r="AN19" s="19">
        <v>0</v>
      </c>
      <c r="AO19" s="18">
        <v>0</v>
      </c>
      <c r="AP19" s="18">
        <v>0</v>
      </c>
      <c r="AQ19" s="18">
        <v>-1</v>
      </c>
      <c r="AR19" s="22">
        <v>4</v>
      </c>
      <c r="AS19" s="17">
        <f t="shared" si="5"/>
        <v>10</v>
      </c>
      <c r="AT19" s="17">
        <f t="shared" si="13"/>
        <v>17</v>
      </c>
      <c r="AU19" s="19">
        <v>0</v>
      </c>
      <c r="AV19" s="18">
        <v>0</v>
      </c>
      <c r="AW19" s="18">
        <v>0</v>
      </c>
      <c r="AX19" s="18">
        <v>0</v>
      </c>
      <c r="AY19" s="22">
        <v>1</v>
      </c>
      <c r="AZ19" s="17">
        <f t="shared" si="6"/>
        <v>16</v>
      </c>
    </row>
    <row r="20" spans="1:52" x14ac:dyDescent="0.3">
      <c r="A20" s="14">
        <v>46286</v>
      </c>
      <c r="B20" s="15" t="s">
        <v>31</v>
      </c>
      <c r="C20" s="16" t="s">
        <v>38</v>
      </c>
      <c r="D20" s="17">
        <f t="shared" si="7"/>
        <v>27</v>
      </c>
      <c r="E20" s="19">
        <v>0</v>
      </c>
      <c r="F20" s="18">
        <v>0</v>
      </c>
      <c r="G20" s="18">
        <v>0</v>
      </c>
      <c r="H20" s="18">
        <v>0</v>
      </c>
      <c r="I20" s="22">
        <v>1</v>
      </c>
      <c r="J20" s="17">
        <f t="shared" si="0"/>
        <v>26</v>
      </c>
      <c r="K20" s="17">
        <f t="shared" si="8"/>
        <v>27</v>
      </c>
      <c r="L20" s="19">
        <v>0</v>
      </c>
      <c r="M20" s="18">
        <v>0</v>
      </c>
      <c r="N20" s="18">
        <v>0</v>
      </c>
      <c r="O20" s="18">
        <v>0</v>
      </c>
      <c r="P20" s="22">
        <v>2</v>
      </c>
      <c r="Q20" s="17">
        <f t="shared" si="1"/>
        <v>25</v>
      </c>
      <c r="R20" s="17">
        <f t="shared" si="9"/>
        <v>13</v>
      </c>
      <c r="S20" s="19">
        <v>0</v>
      </c>
      <c r="T20" s="18">
        <v>0</v>
      </c>
      <c r="U20" s="18">
        <v>0</v>
      </c>
      <c r="V20" s="18">
        <v>0</v>
      </c>
      <c r="W20" s="22">
        <v>0</v>
      </c>
      <c r="X20" s="17">
        <f t="shared" si="2"/>
        <v>13</v>
      </c>
      <c r="Y20" s="17">
        <f t="shared" si="10"/>
        <v>39</v>
      </c>
      <c r="Z20" s="19">
        <v>0</v>
      </c>
      <c r="AA20" s="18">
        <v>0</v>
      </c>
      <c r="AB20" s="18">
        <v>0</v>
      </c>
      <c r="AC20" s="18">
        <v>0</v>
      </c>
      <c r="AD20" s="22">
        <v>14</v>
      </c>
      <c r="AE20" s="17">
        <f t="shared" si="3"/>
        <v>25</v>
      </c>
      <c r="AF20" s="17">
        <f t="shared" si="11"/>
        <v>20</v>
      </c>
      <c r="AG20" s="19">
        <v>0</v>
      </c>
      <c r="AH20" s="18">
        <v>0</v>
      </c>
      <c r="AI20" s="18">
        <v>0</v>
      </c>
      <c r="AJ20" s="18">
        <v>0</v>
      </c>
      <c r="AK20" s="22">
        <v>5</v>
      </c>
      <c r="AL20" s="17">
        <f t="shared" si="4"/>
        <v>15</v>
      </c>
      <c r="AM20" s="17">
        <f t="shared" si="12"/>
        <v>10</v>
      </c>
      <c r="AN20" s="19">
        <v>0</v>
      </c>
      <c r="AO20" s="18">
        <v>0</v>
      </c>
      <c r="AP20" s="18">
        <v>0</v>
      </c>
      <c r="AQ20" s="18">
        <v>0</v>
      </c>
      <c r="AR20" s="22">
        <v>2</v>
      </c>
      <c r="AS20" s="17">
        <f t="shared" si="5"/>
        <v>8</v>
      </c>
      <c r="AT20" s="17">
        <f t="shared" si="13"/>
        <v>16</v>
      </c>
      <c r="AU20" s="19">
        <v>0</v>
      </c>
      <c r="AV20" s="18">
        <v>0</v>
      </c>
      <c r="AW20" s="18">
        <v>0</v>
      </c>
      <c r="AX20" s="18">
        <v>0</v>
      </c>
      <c r="AY20" s="22">
        <v>3</v>
      </c>
      <c r="AZ20" s="17">
        <f t="shared" si="6"/>
        <v>13</v>
      </c>
    </row>
    <row r="21" spans="1:52" x14ac:dyDescent="0.3">
      <c r="A21" s="14">
        <v>46287</v>
      </c>
      <c r="B21" s="15" t="s">
        <v>32</v>
      </c>
      <c r="C21" s="16" t="s">
        <v>39</v>
      </c>
      <c r="D21" s="17">
        <f t="shared" si="7"/>
        <v>26</v>
      </c>
      <c r="E21" s="19">
        <v>0</v>
      </c>
      <c r="F21" s="18">
        <v>0</v>
      </c>
      <c r="G21" s="18">
        <v>0</v>
      </c>
      <c r="H21" s="18">
        <v>0</v>
      </c>
      <c r="I21" s="22">
        <v>0</v>
      </c>
      <c r="J21" s="17">
        <f t="shared" si="0"/>
        <v>26</v>
      </c>
      <c r="K21" s="17">
        <f t="shared" si="8"/>
        <v>25</v>
      </c>
      <c r="L21" s="19">
        <v>0</v>
      </c>
      <c r="M21" s="18">
        <v>0</v>
      </c>
      <c r="N21" s="18">
        <v>0</v>
      </c>
      <c r="O21" s="18">
        <v>0</v>
      </c>
      <c r="P21" s="22">
        <v>0</v>
      </c>
      <c r="Q21" s="17">
        <f t="shared" si="1"/>
        <v>25</v>
      </c>
      <c r="R21" s="17">
        <f t="shared" si="9"/>
        <v>13</v>
      </c>
      <c r="S21" s="19">
        <v>0</v>
      </c>
      <c r="T21" s="18">
        <v>0</v>
      </c>
      <c r="U21" s="18">
        <v>0</v>
      </c>
      <c r="V21" s="18">
        <v>0</v>
      </c>
      <c r="W21" s="22">
        <v>0</v>
      </c>
      <c r="X21" s="17">
        <f t="shared" si="2"/>
        <v>13</v>
      </c>
      <c r="Y21" s="17">
        <f t="shared" si="10"/>
        <v>25</v>
      </c>
      <c r="Z21" s="19">
        <v>0</v>
      </c>
      <c r="AA21" s="18">
        <v>0</v>
      </c>
      <c r="AB21" s="18">
        <v>0</v>
      </c>
      <c r="AC21" s="18">
        <v>0</v>
      </c>
      <c r="AD21" s="22">
        <v>0</v>
      </c>
      <c r="AE21" s="17">
        <f t="shared" si="3"/>
        <v>25</v>
      </c>
      <c r="AF21" s="17">
        <f t="shared" si="11"/>
        <v>15</v>
      </c>
      <c r="AG21" s="19">
        <v>0</v>
      </c>
      <c r="AH21" s="18">
        <v>0</v>
      </c>
      <c r="AI21" s="18">
        <v>0</v>
      </c>
      <c r="AJ21" s="18">
        <v>0</v>
      </c>
      <c r="AK21" s="22">
        <v>0</v>
      </c>
      <c r="AL21" s="17">
        <f t="shared" si="4"/>
        <v>15</v>
      </c>
      <c r="AM21" s="17">
        <f t="shared" si="12"/>
        <v>8</v>
      </c>
      <c r="AN21" s="19">
        <v>0</v>
      </c>
      <c r="AO21" s="18">
        <v>0</v>
      </c>
      <c r="AP21" s="18">
        <v>0</v>
      </c>
      <c r="AQ21" s="18">
        <v>0</v>
      </c>
      <c r="AR21" s="22">
        <v>0</v>
      </c>
      <c r="AS21" s="17">
        <f t="shared" si="5"/>
        <v>8</v>
      </c>
      <c r="AT21" s="17">
        <f t="shared" si="13"/>
        <v>13</v>
      </c>
      <c r="AU21" s="19">
        <v>0</v>
      </c>
      <c r="AV21" s="18">
        <v>0</v>
      </c>
      <c r="AW21" s="18">
        <v>0</v>
      </c>
      <c r="AX21" s="18">
        <v>0</v>
      </c>
      <c r="AY21" s="22">
        <v>0</v>
      </c>
      <c r="AZ21" s="17">
        <f t="shared" si="6"/>
        <v>13</v>
      </c>
    </row>
    <row r="22" spans="1:52" x14ac:dyDescent="0.3">
      <c r="A22" s="14">
        <v>46288</v>
      </c>
      <c r="B22" s="15" t="s">
        <v>33</v>
      </c>
      <c r="C22" s="16" t="s">
        <v>39</v>
      </c>
      <c r="D22" s="17">
        <f t="shared" si="7"/>
        <v>26</v>
      </c>
      <c r="E22" s="19">
        <v>0</v>
      </c>
      <c r="F22" s="18">
        <v>0</v>
      </c>
      <c r="G22" s="18">
        <v>0</v>
      </c>
      <c r="H22" s="18">
        <v>0</v>
      </c>
      <c r="I22" s="22">
        <v>0</v>
      </c>
      <c r="J22" s="17">
        <f t="shared" si="0"/>
        <v>26</v>
      </c>
      <c r="K22" s="17">
        <f t="shared" si="8"/>
        <v>25</v>
      </c>
      <c r="L22" s="19"/>
      <c r="M22" s="18"/>
      <c r="N22" s="18"/>
      <c r="O22" s="18"/>
      <c r="P22" s="22"/>
      <c r="Q22" s="17">
        <f t="shared" si="1"/>
        <v>25</v>
      </c>
      <c r="R22" s="17">
        <f t="shared" si="9"/>
        <v>13</v>
      </c>
      <c r="S22" s="19"/>
      <c r="T22" s="18"/>
      <c r="U22" s="18"/>
      <c r="V22" s="18"/>
      <c r="W22" s="22"/>
      <c r="X22" s="17">
        <f t="shared" si="2"/>
        <v>13</v>
      </c>
      <c r="Y22" s="17">
        <f t="shared" si="10"/>
        <v>25</v>
      </c>
      <c r="Z22" s="19"/>
      <c r="AA22" s="18"/>
      <c r="AB22" s="18"/>
      <c r="AC22" s="18"/>
      <c r="AD22" s="22"/>
      <c r="AE22" s="17">
        <f t="shared" si="3"/>
        <v>25</v>
      </c>
      <c r="AF22" s="17">
        <f t="shared" si="11"/>
        <v>15</v>
      </c>
      <c r="AG22" s="19"/>
      <c r="AH22" s="18"/>
      <c r="AI22" s="18"/>
      <c r="AJ22" s="18"/>
      <c r="AK22" s="22"/>
      <c r="AL22" s="17">
        <f t="shared" ref="AL22:AL36" si="14">AF22+AG22+AH22+AI22+AJ22-AK22</f>
        <v>15</v>
      </c>
      <c r="AM22" s="17">
        <f t="shared" ref="AM22:AM36" si="15">AS21</f>
        <v>8</v>
      </c>
      <c r="AN22" s="19"/>
      <c r="AO22" s="18"/>
      <c r="AP22" s="18"/>
      <c r="AQ22" s="18"/>
      <c r="AR22" s="22"/>
      <c r="AS22" s="17">
        <f t="shared" si="5"/>
        <v>8</v>
      </c>
      <c r="AT22" s="17">
        <f t="shared" si="13"/>
        <v>13</v>
      </c>
      <c r="AU22" s="19"/>
      <c r="AV22" s="18"/>
      <c r="AW22" s="18"/>
      <c r="AX22" s="18"/>
      <c r="AY22" s="22"/>
      <c r="AZ22" s="17">
        <f t="shared" si="6"/>
        <v>13</v>
      </c>
    </row>
    <row r="23" spans="1:52" x14ac:dyDescent="0.3">
      <c r="A23" s="14">
        <v>46289</v>
      </c>
      <c r="B23" s="15" t="s">
        <v>34</v>
      </c>
      <c r="C23" s="16" t="s">
        <v>39</v>
      </c>
      <c r="D23" s="17">
        <f t="shared" si="7"/>
        <v>26</v>
      </c>
      <c r="E23" s="19">
        <v>0</v>
      </c>
      <c r="F23" s="18">
        <v>0</v>
      </c>
      <c r="G23" s="18">
        <v>0</v>
      </c>
      <c r="H23" s="18">
        <v>0</v>
      </c>
      <c r="I23" s="22">
        <v>0</v>
      </c>
      <c r="J23" s="17">
        <f t="shared" si="0"/>
        <v>26</v>
      </c>
      <c r="K23" s="17">
        <f t="shared" si="8"/>
        <v>25</v>
      </c>
      <c r="L23" s="19"/>
      <c r="M23" s="18"/>
      <c r="N23" s="18"/>
      <c r="O23" s="18"/>
      <c r="P23" s="22"/>
      <c r="Q23" s="17">
        <f t="shared" si="1"/>
        <v>25</v>
      </c>
      <c r="R23" s="17">
        <f t="shared" si="9"/>
        <v>13</v>
      </c>
      <c r="S23" s="19"/>
      <c r="T23" s="18"/>
      <c r="U23" s="18"/>
      <c r="V23" s="18"/>
      <c r="W23" s="22"/>
      <c r="X23" s="17">
        <f t="shared" si="2"/>
        <v>13</v>
      </c>
      <c r="Y23" s="17">
        <f t="shared" si="10"/>
        <v>25</v>
      </c>
      <c r="Z23" s="19"/>
      <c r="AA23" s="18"/>
      <c r="AB23" s="18"/>
      <c r="AC23" s="18"/>
      <c r="AD23" s="22"/>
      <c r="AE23" s="17">
        <f t="shared" si="3"/>
        <v>25</v>
      </c>
      <c r="AF23" s="17">
        <f t="shared" si="11"/>
        <v>15</v>
      </c>
      <c r="AG23" s="19"/>
      <c r="AH23" s="18"/>
      <c r="AI23" s="18"/>
      <c r="AJ23" s="18"/>
      <c r="AK23" s="22"/>
      <c r="AL23" s="17">
        <f t="shared" si="14"/>
        <v>15</v>
      </c>
      <c r="AM23" s="17">
        <f t="shared" si="15"/>
        <v>8</v>
      </c>
      <c r="AN23" s="19"/>
      <c r="AO23" s="18"/>
      <c r="AP23" s="18"/>
      <c r="AQ23" s="18"/>
      <c r="AR23" s="22"/>
      <c r="AS23" s="17">
        <f t="shared" si="5"/>
        <v>8</v>
      </c>
      <c r="AT23" s="17">
        <f t="shared" si="13"/>
        <v>13</v>
      </c>
      <c r="AU23" s="19"/>
      <c r="AV23" s="18"/>
      <c r="AW23" s="18"/>
      <c r="AX23" s="18"/>
      <c r="AY23" s="22"/>
      <c r="AZ23" s="17">
        <f t="shared" si="6"/>
        <v>13</v>
      </c>
    </row>
    <row r="24" spans="1:52" x14ac:dyDescent="0.3">
      <c r="A24" s="14">
        <v>46290</v>
      </c>
      <c r="B24" s="15" t="s">
        <v>35</v>
      </c>
      <c r="C24" s="16" t="s">
        <v>38</v>
      </c>
      <c r="D24" s="17">
        <f t="shared" si="7"/>
        <v>26</v>
      </c>
      <c r="E24" s="19">
        <v>0</v>
      </c>
      <c r="F24" s="18">
        <v>0</v>
      </c>
      <c r="G24" s="18">
        <v>0</v>
      </c>
      <c r="H24" s="18">
        <v>0</v>
      </c>
      <c r="I24" s="22">
        <v>0</v>
      </c>
      <c r="J24" s="17">
        <f t="shared" si="0"/>
        <v>26</v>
      </c>
      <c r="K24" s="17">
        <f t="shared" si="8"/>
        <v>25</v>
      </c>
      <c r="L24" s="19"/>
      <c r="M24" s="18"/>
      <c r="N24" s="18"/>
      <c r="O24" s="18"/>
      <c r="P24" s="22"/>
      <c r="Q24" s="17">
        <f t="shared" si="1"/>
        <v>25</v>
      </c>
      <c r="R24" s="17">
        <f t="shared" si="9"/>
        <v>13</v>
      </c>
      <c r="S24" s="19"/>
      <c r="T24" s="18"/>
      <c r="U24" s="18"/>
      <c r="V24" s="18"/>
      <c r="W24" s="22"/>
      <c r="X24" s="17">
        <f t="shared" si="2"/>
        <v>13</v>
      </c>
      <c r="Y24" s="17">
        <f t="shared" si="10"/>
        <v>25</v>
      </c>
      <c r="Z24" s="19"/>
      <c r="AA24" s="18"/>
      <c r="AB24" s="18"/>
      <c r="AC24" s="18"/>
      <c r="AD24" s="22"/>
      <c r="AE24" s="17">
        <f t="shared" si="3"/>
        <v>25</v>
      </c>
      <c r="AF24" s="17">
        <f t="shared" si="11"/>
        <v>15</v>
      </c>
      <c r="AG24" s="19"/>
      <c r="AH24" s="18"/>
      <c r="AI24" s="18"/>
      <c r="AJ24" s="18"/>
      <c r="AK24" s="22"/>
      <c r="AL24" s="17">
        <f t="shared" si="14"/>
        <v>15</v>
      </c>
      <c r="AM24" s="17">
        <f t="shared" si="15"/>
        <v>8</v>
      </c>
      <c r="AN24" s="19"/>
      <c r="AO24" s="18"/>
      <c r="AP24" s="18"/>
      <c r="AQ24" s="18"/>
      <c r="AR24" s="22"/>
      <c r="AS24" s="17">
        <f t="shared" si="5"/>
        <v>8</v>
      </c>
      <c r="AT24" s="17">
        <f t="shared" si="13"/>
        <v>13</v>
      </c>
      <c r="AU24" s="19"/>
      <c r="AV24" s="18"/>
      <c r="AW24" s="18"/>
      <c r="AX24" s="18"/>
      <c r="AY24" s="22"/>
      <c r="AZ24" s="17">
        <f t="shared" si="6"/>
        <v>13</v>
      </c>
    </row>
    <row r="25" spans="1:52" x14ac:dyDescent="0.3">
      <c r="A25" s="14">
        <v>46291</v>
      </c>
      <c r="B25" s="15" t="s">
        <v>36</v>
      </c>
      <c r="C25" s="16" t="s">
        <v>39</v>
      </c>
      <c r="D25" s="17">
        <f t="shared" si="7"/>
        <v>26</v>
      </c>
      <c r="E25" s="19">
        <v>0</v>
      </c>
      <c r="F25" s="18">
        <v>0</v>
      </c>
      <c r="G25" s="18">
        <v>0</v>
      </c>
      <c r="H25" s="18">
        <v>0</v>
      </c>
      <c r="I25" s="22">
        <v>0</v>
      </c>
      <c r="J25" s="17">
        <f t="shared" si="0"/>
        <v>26</v>
      </c>
      <c r="K25" s="17">
        <f t="shared" si="8"/>
        <v>25</v>
      </c>
      <c r="L25" s="19"/>
      <c r="M25" s="18"/>
      <c r="N25" s="18"/>
      <c r="O25" s="18"/>
      <c r="P25" s="22"/>
      <c r="Q25" s="17">
        <f t="shared" si="1"/>
        <v>25</v>
      </c>
      <c r="R25" s="17">
        <f t="shared" si="9"/>
        <v>13</v>
      </c>
      <c r="S25" s="19"/>
      <c r="T25" s="18"/>
      <c r="U25" s="18"/>
      <c r="V25" s="18"/>
      <c r="W25" s="22"/>
      <c r="X25" s="17">
        <f t="shared" si="2"/>
        <v>13</v>
      </c>
      <c r="Y25" s="17">
        <f t="shared" si="10"/>
        <v>25</v>
      </c>
      <c r="Z25" s="19"/>
      <c r="AA25" s="18"/>
      <c r="AB25" s="18"/>
      <c r="AC25" s="18"/>
      <c r="AD25" s="22"/>
      <c r="AE25" s="17">
        <f t="shared" si="3"/>
        <v>25</v>
      </c>
      <c r="AF25" s="17">
        <f t="shared" si="11"/>
        <v>15</v>
      </c>
      <c r="AG25" s="19"/>
      <c r="AH25" s="18"/>
      <c r="AI25" s="18"/>
      <c r="AJ25" s="18"/>
      <c r="AK25" s="22"/>
      <c r="AL25" s="17">
        <f t="shared" si="14"/>
        <v>15</v>
      </c>
      <c r="AM25" s="17">
        <f t="shared" si="15"/>
        <v>8</v>
      </c>
      <c r="AN25" s="19"/>
      <c r="AO25" s="18"/>
      <c r="AP25" s="18"/>
      <c r="AQ25" s="18"/>
      <c r="AR25" s="22"/>
      <c r="AS25" s="17">
        <f t="shared" si="5"/>
        <v>8</v>
      </c>
      <c r="AT25" s="17">
        <f t="shared" si="13"/>
        <v>13</v>
      </c>
      <c r="AU25" s="19"/>
      <c r="AV25" s="18"/>
      <c r="AW25" s="18"/>
      <c r="AX25" s="18"/>
      <c r="AY25" s="22"/>
      <c r="AZ25" s="17">
        <f t="shared" si="6"/>
        <v>13</v>
      </c>
    </row>
    <row r="26" spans="1:52" x14ac:dyDescent="0.3">
      <c r="A26" s="14">
        <v>46292</v>
      </c>
      <c r="B26" s="15" t="s">
        <v>37</v>
      </c>
      <c r="C26" s="16" t="s">
        <v>39</v>
      </c>
      <c r="D26" s="17">
        <f t="shared" si="7"/>
        <v>26</v>
      </c>
      <c r="E26" s="19">
        <v>0</v>
      </c>
      <c r="F26" s="18">
        <v>0</v>
      </c>
      <c r="G26" s="18">
        <v>0</v>
      </c>
      <c r="H26" s="18">
        <v>0</v>
      </c>
      <c r="I26" s="22">
        <v>0</v>
      </c>
      <c r="J26" s="17">
        <f t="shared" si="0"/>
        <v>26</v>
      </c>
      <c r="K26" s="17">
        <f t="shared" si="8"/>
        <v>25</v>
      </c>
      <c r="L26" s="19"/>
      <c r="M26" s="18"/>
      <c r="N26" s="18"/>
      <c r="O26" s="18"/>
      <c r="P26" s="22"/>
      <c r="Q26" s="17">
        <f t="shared" si="1"/>
        <v>25</v>
      </c>
      <c r="R26" s="17">
        <f t="shared" si="9"/>
        <v>13</v>
      </c>
      <c r="S26" s="19"/>
      <c r="T26" s="18"/>
      <c r="U26" s="18"/>
      <c r="V26" s="18"/>
      <c r="W26" s="22"/>
      <c r="X26" s="17">
        <f t="shared" si="2"/>
        <v>13</v>
      </c>
      <c r="Y26" s="17">
        <f t="shared" si="10"/>
        <v>25</v>
      </c>
      <c r="Z26" s="19"/>
      <c r="AA26" s="18"/>
      <c r="AB26" s="18"/>
      <c r="AC26" s="18"/>
      <c r="AD26" s="22"/>
      <c r="AE26" s="17">
        <f t="shared" si="3"/>
        <v>25</v>
      </c>
      <c r="AF26" s="17">
        <f t="shared" si="11"/>
        <v>15</v>
      </c>
      <c r="AG26" s="19"/>
      <c r="AH26" s="18"/>
      <c r="AI26" s="18"/>
      <c r="AJ26" s="18"/>
      <c r="AK26" s="22"/>
      <c r="AL26" s="17">
        <f t="shared" si="14"/>
        <v>15</v>
      </c>
      <c r="AM26" s="17">
        <f t="shared" si="15"/>
        <v>8</v>
      </c>
      <c r="AN26" s="19"/>
      <c r="AO26" s="18"/>
      <c r="AP26" s="18"/>
      <c r="AQ26" s="18"/>
      <c r="AR26" s="22"/>
      <c r="AS26" s="17">
        <f t="shared" si="5"/>
        <v>8</v>
      </c>
      <c r="AT26" s="17">
        <f t="shared" si="13"/>
        <v>13</v>
      </c>
      <c r="AU26" s="19"/>
      <c r="AV26" s="18"/>
      <c r="AW26" s="18"/>
      <c r="AX26" s="18"/>
      <c r="AY26" s="22"/>
      <c r="AZ26" s="17">
        <f t="shared" si="6"/>
        <v>13</v>
      </c>
    </row>
    <row r="27" spans="1:52" x14ac:dyDescent="0.3">
      <c r="A27" s="14">
        <v>46293</v>
      </c>
      <c r="B27" s="15" t="s">
        <v>31</v>
      </c>
      <c r="C27" s="16" t="s">
        <v>38</v>
      </c>
      <c r="D27" s="17">
        <f t="shared" si="7"/>
        <v>26</v>
      </c>
      <c r="E27" s="19">
        <v>0</v>
      </c>
      <c r="F27" s="18">
        <v>0</v>
      </c>
      <c r="G27" s="18">
        <v>0</v>
      </c>
      <c r="H27" s="18">
        <v>0</v>
      </c>
      <c r="I27" s="22">
        <v>0</v>
      </c>
      <c r="J27" s="17">
        <f t="shared" si="0"/>
        <v>26</v>
      </c>
      <c r="K27" s="17">
        <f t="shared" si="8"/>
        <v>25</v>
      </c>
      <c r="L27" s="19"/>
      <c r="M27" s="18"/>
      <c r="N27" s="18"/>
      <c r="O27" s="18"/>
      <c r="P27" s="22"/>
      <c r="Q27" s="17">
        <f t="shared" si="1"/>
        <v>25</v>
      </c>
      <c r="R27" s="17">
        <f t="shared" si="9"/>
        <v>13</v>
      </c>
      <c r="S27" s="19"/>
      <c r="T27" s="18"/>
      <c r="U27" s="18"/>
      <c r="V27" s="18"/>
      <c r="W27" s="22"/>
      <c r="X27" s="17">
        <f t="shared" si="2"/>
        <v>13</v>
      </c>
      <c r="Y27" s="17">
        <f t="shared" si="10"/>
        <v>25</v>
      </c>
      <c r="Z27" s="19"/>
      <c r="AA27" s="18"/>
      <c r="AB27" s="18"/>
      <c r="AC27" s="18"/>
      <c r="AD27" s="22"/>
      <c r="AE27" s="17">
        <f t="shared" si="3"/>
        <v>25</v>
      </c>
      <c r="AF27" s="17">
        <f t="shared" si="11"/>
        <v>15</v>
      </c>
      <c r="AG27" s="19"/>
      <c r="AH27" s="18"/>
      <c r="AI27" s="18"/>
      <c r="AJ27" s="18"/>
      <c r="AK27" s="22"/>
      <c r="AL27" s="17">
        <f t="shared" si="14"/>
        <v>15</v>
      </c>
      <c r="AM27" s="17">
        <f t="shared" si="15"/>
        <v>8</v>
      </c>
      <c r="AN27" s="19"/>
      <c r="AO27" s="18"/>
      <c r="AP27" s="18"/>
      <c r="AQ27" s="18"/>
      <c r="AR27" s="22"/>
      <c r="AS27" s="17">
        <f t="shared" si="5"/>
        <v>8</v>
      </c>
      <c r="AT27" s="17">
        <f t="shared" si="13"/>
        <v>13</v>
      </c>
      <c r="AU27" s="19"/>
      <c r="AV27" s="18"/>
      <c r="AW27" s="18"/>
      <c r="AX27" s="18"/>
      <c r="AY27" s="22"/>
      <c r="AZ27" s="17">
        <f t="shared" si="6"/>
        <v>13</v>
      </c>
    </row>
    <row r="28" spans="1:52" x14ac:dyDescent="0.3">
      <c r="A28" s="14">
        <v>46294</v>
      </c>
      <c r="B28" s="15" t="s">
        <v>32</v>
      </c>
      <c r="C28" s="16" t="s">
        <v>39</v>
      </c>
      <c r="D28" s="17">
        <f t="shared" si="7"/>
        <v>26</v>
      </c>
      <c r="E28" s="19">
        <v>0</v>
      </c>
      <c r="F28" s="18">
        <v>0</v>
      </c>
      <c r="G28" s="18">
        <v>0</v>
      </c>
      <c r="H28" s="18">
        <v>0</v>
      </c>
      <c r="I28" s="22">
        <v>0</v>
      </c>
      <c r="J28" s="17">
        <f t="shared" si="0"/>
        <v>26</v>
      </c>
      <c r="K28" s="17">
        <f t="shared" si="8"/>
        <v>25</v>
      </c>
      <c r="L28" s="19"/>
      <c r="M28" s="18"/>
      <c r="N28" s="18"/>
      <c r="O28" s="18"/>
      <c r="P28" s="22"/>
      <c r="Q28" s="17">
        <f t="shared" si="1"/>
        <v>25</v>
      </c>
      <c r="R28" s="17">
        <f t="shared" si="9"/>
        <v>13</v>
      </c>
      <c r="S28" s="19"/>
      <c r="T28" s="18"/>
      <c r="U28" s="18"/>
      <c r="V28" s="18"/>
      <c r="W28" s="22"/>
      <c r="X28" s="17">
        <f t="shared" si="2"/>
        <v>13</v>
      </c>
      <c r="Y28" s="17">
        <f t="shared" si="10"/>
        <v>25</v>
      </c>
      <c r="Z28" s="19"/>
      <c r="AA28" s="18"/>
      <c r="AB28" s="18"/>
      <c r="AC28" s="18"/>
      <c r="AD28" s="22"/>
      <c r="AE28" s="17">
        <f t="shared" si="3"/>
        <v>25</v>
      </c>
      <c r="AF28" s="17">
        <f t="shared" si="11"/>
        <v>15</v>
      </c>
      <c r="AG28" s="19"/>
      <c r="AH28" s="18"/>
      <c r="AI28" s="18"/>
      <c r="AJ28" s="18"/>
      <c r="AK28" s="22"/>
      <c r="AL28" s="17">
        <f t="shared" si="14"/>
        <v>15</v>
      </c>
      <c r="AM28" s="17">
        <f t="shared" si="15"/>
        <v>8</v>
      </c>
      <c r="AN28" s="19"/>
      <c r="AO28" s="18"/>
      <c r="AP28" s="18"/>
      <c r="AQ28" s="18"/>
      <c r="AR28" s="22"/>
      <c r="AS28" s="17">
        <f t="shared" si="5"/>
        <v>8</v>
      </c>
      <c r="AT28" s="17">
        <f t="shared" si="13"/>
        <v>13</v>
      </c>
      <c r="AU28" s="19"/>
      <c r="AV28" s="18"/>
      <c r="AW28" s="18"/>
      <c r="AX28" s="18"/>
      <c r="AY28" s="22"/>
      <c r="AZ28" s="17">
        <f t="shared" si="6"/>
        <v>13</v>
      </c>
    </row>
    <row r="29" spans="1:52" x14ac:dyDescent="0.3">
      <c r="A29" s="14">
        <v>46295</v>
      </c>
      <c r="B29" s="15" t="s">
        <v>33</v>
      </c>
      <c r="C29" s="16" t="s">
        <v>39</v>
      </c>
      <c r="D29" s="17">
        <f t="shared" si="7"/>
        <v>26</v>
      </c>
      <c r="E29" s="19">
        <v>0</v>
      </c>
      <c r="F29" s="18">
        <v>0</v>
      </c>
      <c r="G29" s="18">
        <v>0</v>
      </c>
      <c r="H29" s="18">
        <v>0</v>
      </c>
      <c r="I29" s="22">
        <v>0</v>
      </c>
      <c r="J29" s="17">
        <f t="shared" si="0"/>
        <v>26</v>
      </c>
      <c r="K29" s="17">
        <f t="shared" si="8"/>
        <v>25</v>
      </c>
      <c r="L29" s="19"/>
      <c r="M29" s="18"/>
      <c r="N29" s="18"/>
      <c r="O29" s="18"/>
      <c r="P29" s="22"/>
      <c r="Q29" s="17">
        <f t="shared" si="1"/>
        <v>25</v>
      </c>
      <c r="R29" s="17">
        <f t="shared" si="9"/>
        <v>13</v>
      </c>
      <c r="S29" s="19"/>
      <c r="T29" s="18"/>
      <c r="U29" s="18"/>
      <c r="V29" s="18"/>
      <c r="W29" s="22"/>
      <c r="X29" s="17">
        <f t="shared" si="2"/>
        <v>13</v>
      </c>
      <c r="Y29" s="17">
        <f t="shared" si="10"/>
        <v>25</v>
      </c>
      <c r="Z29" s="19"/>
      <c r="AA29" s="18"/>
      <c r="AB29" s="18"/>
      <c r="AC29" s="18"/>
      <c r="AD29" s="22"/>
      <c r="AE29" s="17">
        <f t="shared" si="3"/>
        <v>25</v>
      </c>
      <c r="AF29" s="17">
        <f t="shared" si="11"/>
        <v>15</v>
      </c>
      <c r="AG29" s="19"/>
      <c r="AH29" s="18"/>
      <c r="AI29" s="18"/>
      <c r="AJ29" s="18"/>
      <c r="AK29" s="22"/>
      <c r="AL29" s="17">
        <f t="shared" si="14"/>
        <v>15</v>
      </c>
      <c r="AM29" s="17">
        <f t="shared" si="15"/>
        <v>8</v>
      </c>
      <c r="AN29" s="19"/>
      <c r="AO29" s="18"/>
      <c r="AP29" s="18"/>
      <c r="AQ29" s="18"/>
      <c r="AR29" s="22"/>
      <c r="AS29" s="17">
        <f t="shared" si="5"/>
        <v>8</v>
      </c>
      <c r="AT29" s="17">
        <f t="shared" si="13"/>
        <v>13</v>
      </c>
      <c r="AU29" s="19"/>
      <c r="AV29" s="18"/>
      <c r="AW29" s="18"/>
      <c r="AX29" s="18"/>
      <c r="AY29" s="22"/>
      <c r="AZ29" s="17">
        <f t="shared" si="6"/>
        <v>13</v>
      </c>
    </row>
    <row r="30" spans="1:52" x14ac:dyDescent="0.3">
      <c r="A30" s="14">
        <v>46296</v>
      </c>
      <c r="B30" s="15" t="s">
        <v>34</v>
      </c>
      <c r="C30" s="16" t="s">
        <v>39</v>
      </c>
      <c r="D30" s="17">
        <f t="shared" si="7"/>
        <v>26</v>
      </c>
      <c r="E30" s="19">
        <v>0</v>
      </c>
      <c r="F30" s="18">
        <v>0</v>
      </c>
      <c r="G30" s="18">
        <v>0</v>
      </c>
      <c r="H30" s="18">
        <v>0</v>
      </c>
      <c r="I30" s="22">
        <v>0</v>
      </c>
      <c r="J30" s="17">
        <f t="shared" si="0"/>
        <v>26</v>
      </c>
      <c r="K30" s="17">
        <f t="shared" si="8"/>
        <v>25</v>
      </c>
      <c r="L30" s="19"/>
      <c r="M30" s="18"/>
      <c r="N30" s="18"/>
      <c r="O30" s="18"/>
      <c r="P30" s="22"/>
      <c r="Q30" s="17">
        <f t="shared" si="1"/>
        <v>25</v>
      </c>
      <c r="R30" s="17">
        <f t="shared" si="9"/>
        <v>13</v>
      </c>
      <c r="S30" s="19"/>
      <c r="T30" s="18"/>
      <c r="U30" s="18"/>
      <c r="V30" s="18"/>
      <c r="W30" s="22"/>
      <c r="X30" s="17">
        <f t="shared" si="2"/>
        <v>13</v>
      </c>
      <c r="Y30" s="17">
        <f t="shared" si="10"/>
        <v>25</v>
      </c>
      <c r="Z30" s="19"/>
      <c r="AA30" s="18"/>
      <c r="AB30" s="18"/>
      <c r="AC30" s="18"/>
      <c r="AD30" s="22"/>
      <c r="AE30" s="17">
        <f t="shared" si="3"/>
        <v>25</v>
      </c>
      <c r="AF30" s="17">
        <f t="shared" si="11"/>
        <v>15</v>
      </c>
      <c r="AG30" s="19"/>
      <c r="AH30" s="18"/>
      <c r="AI30" s="18"/>
      <c r="AJ30" s="18"/>
      <c r="AK30" s="22"/>
      <c r="AL30" s="17">
        <f t="shared" si="14"/>
        <v>15</v>
      </c>
      <c r="AM30" s="17">
        <f t="shared" si="15"/>
        <v>8</v>
      </c>
      <c r="AN30" s="19"/>
      <c r="AO30" s="18"/>
      <c r="AP30" s="18"/>
      <c r="AQ30" s="18"/>
      <c r="AR30" s="22"/>
      <c r="AS30" s="17">
        <f t="shared" si="5"/>
        <v>8</v>
      </c>
      <c r="AT30" s="17">
        <f t="shared" si="13"/>
        <v>13</v>
      </c>
      <c r="AU30" s="19"/>
      <c r="AV30" s="18"/>
      <c r="AW30" s="18"/>
      <c r="AX30" s="18"/>
      <c r="AY30" s="22"/>
      <c r="AZ30" s="17">
        <f t="shared" si="6"/>
        <v>13</v>
      </c>
    </row>
    <row r="31" spans="1:52" x14ac:dyDescent="0.3">
      <c r="A31" s="14">
        <v>46297</v>
      </c>
      <c r="B31" s="15" t="s">
        <v>35</v>
      </c>
      <c r="C31" s="16" t="s">
        <v>38</v>
      </c>
      <c r="D31" s="17">
        <f t="shared" si="7"/>
        <v>26</v>
      </c>
      <c r="E31" s="19">
        <v>0</v>
      </c>
      <c r="F31" s="18">
        <v>0</v>
      </c>
      <c r="G31" s="18">
        <v>0</v>
      </c>
      <c r="H31" s="18">
        <v>0</v>
      </c>
      <c r="I31" s="22">
        <v>0</v>
      </c>
      <c r="J31" s="17">
        <f t="shared" si="0"/>
        <v>26</v>
      </c>
      <c r="K31" s="17">
        <f t="shared" si="8"/>
        <v>25</v>
      </c>
      <c r="L31" s="19"/>
      <c r="M31" s="18"/>
      <c r="N31" s="18"/>
      <c r="O31" s="18"/>
      <c r="P31" s="22"/>
      <c r="Q31" s="17">
        <f t="shared" si="1"/>
        <v>25</v>
      </c>
      <c r="R31" s="17">
        <f t="shared" si="9"/>
        <v>13</v>
      </c>
      <c r="S31" s="19"/>
      <c r="T31" s="18"/>
      <c r="U31" s="18"/>
      <c r="V31" s="18"/>
      <c r="W31" s="22"/>
      <c r="X31" s="17">
        <f t="shared" si="2"/>
        <v>13</v>
      </c>
      <c r="Y31" s="17">
        <f t="shared" si="10"/>
        <v>25</v>
      </c>
      <c r="Z31" s="19"/>
      <c r="AA31" s="18"/>
      <c r="AB31" s="18"/>
      <c r="AC31" s="18"/>
      <c r="AD31" s="22"/>
      <c r="AE31" s="17">
        <f t="shared" si="3"/>
        <v>25</v>
      </c>
      <c r="AF31" s="17">
        <f t="shared" si="11"/>
        <v>15</v>
      </c>
      <c r="AG31" s="19"/>
      <c r="AH31" s="18"/>
      <c r="AI31" s="18"/>
      <c r="AJ31" s="18"/>
      <c r="AK31" s="22"/>
      <c r="AL31" s="17">
        <f t="shared" si="14"/>
        <v>15</v>
      </c>
      <c r="AM31" s="17">
        <f t="shared" si="15"/>
        <v>8</v>
      </c>
      <c r="AN31" s="19"/>
      <c r="AO31" s="18"/>
      <c r="AP31" s="18"/>
      <c r="AQ31" s="18"/>
      <c r="AR31" s="22"/>
      <c r="AS31" s="17">
        <f t="shared" si="5"/>
        <v>8</v>
      </c>
      <c r="AT31" s="17">
        <f t="shared" si="13"/>
        <v>13</v>
      </c>
      <c r="AU31" s="19"/>
      <c r="AV31" s="18"/>
      <c r="AW31" s="18"/>
      <c r="AX31" s="18"/>
      <c r="AY31" s="22"/>
      <c r="AZ31" s="17">
        <f t="shared" si="6"/>
        <v>13</v>
      </c>
    </row>
    <row r="32" spans="1:52" x14ac:dyDescent="0.3">
      <c r="A32" s="14">
        <v>46298</v>
      </c>
      <c r="B32" s="15" t="s">
        <v>36</v>
      </c>
      <c r="C32" s="16" t="s">
        <v>39</v>
      </c>
      <c r="D32" s="17">
        <f t="shared" si="7"/>
        <v>26</v>
      </c>
      <c r="E32" s="19">
        <v>0</v>
      </c>
      <c r="F32" s="18">
        <v>0</v>
      </c>
      <c r="G32" s="18">
        <v>0</v>
      </c>
      <c r="H32" s="18">
        <v>0</v>
      </c>
      <c r="I32" s="22">
        <v>0</v>
      </c>
      <c r="J32" s="17">
        <f t="shared" si="0"/>
        <v>26</v>
      </c>
      <c r="K32" s="17">
        <f t="shared" si="8"/>
        <v>25</v>
      </c>
      <c r="L32" s="19"/>
      <c r="M32" s="18"/>
      <c r="N32" s="18"/>
      <c r="O32" s="18"/>
      <c r="P32" s="22"/>
      <c r="Q32" s="17">
        <f t="shared" si="1"/>
        <v>25</v>
      </c>
      <c r="R32" s="17">
        <f t="shared" si="9"/>
        <v>13</v>
      </c>
      <c r="S32" s="19"/>
      <c r="T32" s="18"/>
      <c r="U32" s="18"/>
      <c r="V32" s="18"/>
      <c r="W32" s="22"/>
      <c r="X32" s="17">
        <f t="shared" si="2"/>
        <v>13</v>
      </c>
      <c r="Y32" s="17">
        <f t="shared" si="10"/>
        <v>25</v>
      </c>
      <c r="Z32" s="19"/>
      <c r="AA32" s="18"/>
      <c r="AB32" s="18"/>
      <c r="AC32" s="18"/>
      <c r="AD32" s="22"/>
      <c r="AE32" s="17">
        <f t="shared" si="3"/>
        <v>25</v>
      </c>
      <c r="AF32" s="17">
        <f t="shared" si="11"/>
        <v>15</v>
      </c>
      <c r="AG32" s="19"/>
      <c r="AH32" s="18"/>
      <c r="AI32" s="18"/>
      <c r="AJ32" s="18"/>
      <c r="AK32" s="22"/>
      <c r="AL32" s="17">
        <f t="shared" si="14"/>
        <v>15</v>
      </c>
      <c r="AM32" s="17">
        <f t="shared" si="15"/>
        <v>8</v>
      </c>
      <c r="AN32" s="19"/>
      <c r="AO32" s="18"/>
      <c r="AP32" s="18"/>
      <c r="AQ32" s="18"/>
      <c r="AR32" s="22"/>
      <c r="AS32" s="17">
        <f t="shared" si="5"/>
        <v>8</v>
      </c>
      <c r="AT32" s="17">
        <f t="shared" si="13"/>
        <v>13</v>
      </c>
      <c r="AU32" s="19"/>
      <c r="AV32" s="18"/>
      <c r="AW32" s="18"/>
      <c r="AX32" s="18"/>
      <c r="AY32" s="22"/>
      <c r="AZ32" s="17">
        <f t="shared" si="6"/>
        <v>13</v>
      </c>
    </row>
    <row r="33" spans="1:52" x14ac:dyDescent="0.3">
      <c r="A33" s="14">
        <v>46299</v>
      </c>
      <c r="B33" s="15" t="s">
        <v>37</v>
      </c>
      <c r="C33" s="16" t="s">
        <v>39</v>
      </c>
      <c r="D33" s="17">
        <f t="shared" si="7"/>
        <v>26</v>
      </c>
      <c r="E33" s="19">
        <v>0</v>
      </c>
      <c r="F33" s="18">
        <v>0</v>
      </c>
      <c r="G33" s="18">
        <v>0</v>
      </c>
      <c r="H33" s="18">
        <v>0</v>
      </c>
      <c r="I33" s="22">
        <v>0</v>
      </c>
      <c r="J33" s="17">
        <f t="shared" si="0"/>
        <v>26</v>
      </c>
      <c r="K33" s="17">
        <f t="shared" si="8"/>
        <v>25</v>
      </c>
      <c r="L33" s="19"/>
      <c r="M33" s="18"/>
      <c r="N33" s="18"/>
      <c r="O33" s="18"/>
      <c r="P33" s="22"/>
      <c r="Q33" s="17">
        <f t="shared" si="1"/>
        <v>25</v>
      </c>
      <c r="R33" s="17">
        <f t="shared" si="9"/>
        <v>13</v>
      </c>
      <c r="S33" s="19"/>
      <c r="T33" s="18"/>
      <c r="U33" s="18"/>
      <c r="V33" s="18"/>
      <c r="W33" s="22"/>
      <c r="X33" s="17">
        <f t="shared" si="2"/>
        <v>13</v>
      </c>
      <c r="Y33" s="17">
        <f t="shared" si="10"/>
        <v>25</v>
      </c>
      <c r="Z33" s="19"/>
      <c r="AA33" s="18"/>
      <c r="AB33" s="18"/>
      <c r="AC33" s="18"/>
      <c r="AD33" s="22"/>
      <c r="AE33" s="17">
        <f t="shared" si="3"/>
        <v>25</v>
      </c>
      <c r="AF33" s="17">
        <f t="shared" si="11"/>
        <v>15</v>
      </c>
      <c r="AG33" s="19"/>
      <c r="AH33" s="18"/>
      <c r="AI33" s="18"/>
      <c r="AJ33" s="18"/>
      <c r="AK33" s="22"/>
      <c r="AL33" s="17">
        <f t="shared" si="14"/>
        <v>15</v>
      </c>
      <c r="AM33" s="17">
        <f t="shared" si="15"/>
        <v>8</v>
      </c>
      <c r="AN33" s="19"/>
      <c r="AO33" s="18"/>
      <c r="AP33" s="18"/>
      <c r="AQ33" s="18"/>
      <c r="AR33" s="22"/>
      <c r="AS33" s="17">
        <f t="shared" si="5"/>
        <v>8</v>
      </c>
      <c r="AT33" s="17">
        <f t="shared" si="13"/>
        <v>13</v>
      </c>
      <c r="AU33" s="19"/>
      <c r="AV33" s="18"/>
      <c r="AW33" s="18"/>
      <c r="AX33" s="18"/>
      <c r="AY33" s="22"/>
      <c r="AZ33" s="17">
        <f t="shared" si="6"/>
        <v>13</v>
      </c>
    </row>
    <row r="34" spans="1:52" x14ac:dyDescent="0.3">
      <c r="A34" s="14">
        <v>46300</v>
      </c>
      <c r="B34" s="15" t="s">
        <v>31</v>
      </c>
      <c r="C34" s="16"/>
      <c r="D34" s="17">
        <f t="shared" si="7"/>
        <v>26</v>
      </c>
      <c r="E34" s="19">
        <v>0</v>
      </c>
      <c r="F34" s="18">
        <v>0</v>
      </c>
      <c r="G34" s="18">
        <v>0</v>
      </c>
      <c r="H34" s="18">
        <v>0</v>
      </c>
      <c r="I34" s="22">
        <v>0</v>
      </c>
      <c r="J34" s="17">
        <f t="shared" si="0"/>
        <v>26</v>
      </c>
      <c r="K34" s="17">
        <f t="shared" si="8"/>
        <v>25</v>
      </c>
      <c r="L34" s="19"/>
      <c r="M34" s="18"/>
      <c r="N34" s="18"/>
      <c r="O34" s="18"/>
      <c r="P34" s="22"/>
      <c r="Q34" s="17">
        <f t="shared" si="1"/>
        <v>25</v>
      </c>
      <c r="R34" s="17">
        <f t="shared" si="9"/>
        <v>13</v>
      </c>
      <c r="S34" s="19"/>
      <c r="T34" s="18"/>
      <c r="U34" s="18"/>
      <c r="V34" s="18"/>
      <c r="W34" s="22"/>
      <c r="X34" s="17">
        <f t="shared" si="2"/>
        <v>13</v>
      </c>
      <c r="Y34" s="17">
        <f t="shared" si="10"/>
        <v>25</v>
      </c>
      <c r="Z34" s="19"/>
      <c r="AA34" s="18"/>
      <c r="AB34" s="18"/>
      <c r="AC34" s="18"/>
      <c r="AD34" s="22"/>
      <c r="AE34" s="17">
        <f t="shared" si="3"/>
        <v>25</v>
      </c>
      <c r="AF34" s="17">
        <f t="shared" si="11"/>
        <v>15</v>
      </c>
      <c r="AG34" s="19"/>
      <c r="AH34" s="18"/>
      <c r="AI34" s="18"/>
      <c r="AJ34" s="18"/>
      <c r="AK34" s="22"/>
      <c r="AL34" s="17">
        <f t="shared" si="14"/>
        <v>15</v>
      </c>
      <c r="AM34" s="17">
        <f t="shared" si="15"/>
        <v>8</v>
      </c>
      <c r="AN34" s="19"/>
      <c r="AO34" s="18"/>
      <c r="AP34" s="18"/>
      <c r="AQ34" s="18"/>
      <c r="AR34" s="22"/>
      <c r="AS34" s="17">
        <f t="shared" si="5"/>
        <v>8</v>
      </c>
      <c r="AT34" s="17">
        <f t="shared" si="13"/>
        <v>13</v>
      </c>
      <c r="AU34" s="19"/>
      <c r="AV34" s="18"/>
      <c r="AW34" s="18"/>
      <c r="AX34" s="18"/>
      <c r="AY34" s="22"/>
      <c r="AZ34" s="17">
        <f t="shared" si="6"/>
        <v>13</v>
      </c>
    </row>
    <row r="35" spans="1:52" x14ac:dyDescent="0.3">
      <c r="A35" s="14">
        <v>46301</v>
      </c>
      <c r="B35" s="15" t="s">
        <v>32</v>
      </c>
      <c r="C35" s="16"/>
      <c r="D35" s="17">
        <f t="shared" si="7"/>
        <v>26</v>
      </c>
      <c r="E35" s="19">
        <v>0</v>
      </c>
      <c r="F35" s="18">
        <v>0</v>
      </c>
      <c r="G35" s="18">
        <v>0</v>
      </c>
      <c r="H35" s="18">
        <v>0</v>
      </c>
      <c r="I35" s="22">
        <v>0</v>
      </c>
      <c r="J35" s="17">
        <f t="shared" si="0"/>
        <v>26</v>
      </c>
      <c r="K35" s="17">
        <f t="shared" si="8"/>
        <v>25</v>
      </c>
      <c r="L35" s="19"/>
      <c r="M35" s="18"/>
      <c r="N35" s="18"/>
      <c r="O35" s="18"/>
      <c r="P35" s="22"/>
      <c r="Q35" s="17">
        <f t="shared" si="1"/>
        <v>25</v>
      </c>
      <c r="R35" s="17">
        <f t="shared" si="9"/>
        <v>13</v>
      </c>
      <c r="S35" s="19"/>
      <c r="T35" s="18"/>
      <c r="U35" s="18"/>
      <c r="V35" s="18"/>
      <c r="W35" s="22"/>
      <c r="X35" s="17">
        <f t="shared" si="2"/>
        <v>13</v>
      </c>
      <c r="Y35" s="17">
        <f t="shared" si="10"/>
        <v>25</v>
      </c>
      <c r="Z35" s="19"/>
      <c r="AA35" s="18"/>
      <c r="AB35" s="18"/>
      <c r="AC35" s="18"/>
      <c r="AD35" s="22"/>
      <c r="AE35" s="17">
        <f t="shared" si="3"/>
        <v>25</v>
      </c>
      <c r="AF35" s="17">
        <f t="shared" si="11"/>
        <v>15</v>
      </c>
      <c r="AG35" s="19"/>
      <c r="AH35" s="18"/>
      <c r="AI35" s="18"/>
      <c r="AJ35" s="18"/>
      <c r="AK35" s="22"/>
      <c r="AL35" s="17">
        <f t="shared" si="14"/>
        <v>15</v>
      </c>
      <c r="AM35" s="17">
        <f t="shared" si="15"/>
        <v>8</v>
      </c>
      <c r="AN35" s="19"/>
      <c r="AO35" s="18"/>
      <c r="AP35" s="18"/>
      <c r="AQ35" s="18"/>
      <c r="AR35" s="22"/>
      <c r="AS35" s="17">
        <f t="shared" si="5"/>
        <v>8</v>
      </c>
      <c r="AT35" s="17">
        <f t="shared" si="13"/>
        <v>13</v>
      </c>
      <c r="AU35" s="19"/>
      <c r="AV35" s="18"/>
      <c r="AW35" s="18"/>
      <c r="AX35" s="18"/>
      <c r="AY35" s="22"/>
      <c r="AZ35" s="17">
        <f t="shared" si="6"/>
        <v>13</v>
      </c>
    </row>
    <row r="36" spans="1:52" x14ac:dyDescent="0.3">
      <c r="A36" s="14">
        <v>46302</v>
      </c>
      <c r="B36" s="15" t="s">
        <v>33</v>
      </c>
      <c r="C36" s="16"/>
      <c r="D36" s="17">
        <f t="shared" si="7"/>
        <v>26</v>
      </c>
      <c r="E36" s="19">
        <v>0</v>
      </c>
      <c r="F36" s="18">
        <v>0</v>
      </c>
      <c r="G36" s="18">
        <v>0</v>
      </c>
      <c r="H36" s="18">
        <v>0</v>
      </c>
      <c r="I36" s="22">
        <v>0</v>
      </c>
      <c r="J36" s="17">
        <f t="shared" si="0"/>
        <v>26</v>
      </c>
      <c r="K36" s="17">
        <f t="shared" si="8"/>
        <v>25</v>
      </c>
      <c r="L36" s="19"/>
      <c r="M36" s="18"/>
      <c r="N36" s="18"/>
      <c r="O36" s="18"/>
      <c r="P36" s="22"/>
      <c r="Q36" s="17">
        <f t="shared" si="1"/>
        <v>25</v>
      </c>
      <c r="R36" s="17">
        <f t="shared" si="9"/>
        <v>13</v>
      </c>
      <c r="S36" s="19"/>
      <c r="T36" s="18"/>
      <c r="U36" s="18"/>
      <c r="V36" s="18"/>
      <c r="W36" s="22"/>
      <c r="X36" s="17">
        <f t="shared" si="2"/>
        <v>13</v>
      </c>
      <c r="Y36" s="17">
        <f t="shared" si="10"/>
        <v>25</v>
      </c>
      <c r="Z36" s="19"/>
      <c r="AA36" s="18"/>
      <c r="AB36" s="18"/>
      <c r="AC36" s="18"/>
      <c r="AD36" s="22"/>
      <c r="AE36" s="17">
        <f t="shared" si="3"/>
        <v>25</v>
      </c>
      <c r="AF36" s="17">
        <f t="shared" si="11"/>
        <v>15</v>
      </c>
      <c r="AG36" s="19"/>
      <c r="AH36" s="18"/>
      <c r="AI36" s="18"/>
      <c r="AJ36" s="18"/>
      <c r="AK36" s="22"/>
      <c r="AL36" s="17">
        <f t="shared" si="14"/>
        <v>15</v>
      </c>
      <c r="AM36" s="17">
        <f t="shared" si="15"/>
        <v>8</v>
      </c>
      <c r="AN36" s="19"/>
      <c r="AO36" s="18"/>
      <c r="AP36" s="18"/>
      <c r="AQ36" s="18"/>
      <c r="AR36" s="22"/>
      <c r="AS36" s="17">
        <f t="shared" si="5"/>
        <v>8</v>
      </c>
      <c r="AT36" s="17">
        <f t="shared" si="13"/>
        <v>13</v>
      </c>
      <c r="AU36" s="19"/>
      <c r="AV36" s="18"/>
      <c r="AW36" s="18"/>
      <c r="AX36" s="18"/>
      <c r="AY36" s="22"/>
      <c r="AZ36" s="17">
        <f t="shared" si="6"/>
        <v>13</v>
      </c>
    </row>
    <row r="37" spans="1:52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</row>
    <row r="38" spans="1:52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</row>
  </sheetData>
  <mergeCells count="11">
    <mergeCell ref="A2:B2"/>
    <mergeCell ref="R4:X4"/>
    <mergeCell ref="Y4:AE4"/>
    <mergeCell ref="AF4:AL4"/>
    <mergeCell ref="AM4:AS4"/>
    <mergeCell ref="AT4:AZ4"/>
    <mergeCell ref="A4:A5"/>
    <mergeCell ref="B4:B5"/>
    <mergeCell ref="C4:C5"/>
    <mergeCell ref="D4:J4"/>
    <mergeCell ref="K4:Q4"/>
  </mergeCells>
  <pageMargins left="0.7" right="0.7" top="0.75" bottom="0.75" header="0.3" footer="0.3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16"/>
  <sheetViews>
    <sheetView showGridLines="0" workbookViewId="0">
      <pane ySplit="4" topLeftCell="A7" activePane="bottomLeft" state="frozen"/>
      <selection pane="bottomLeft" activeCell="K33" sqref="K33"/>
    </sheetView>
  </sheetViews>
  <sheetFormatPr defaultRowHeight="14.4" x14ac:dyDescent="0.3"/>
  <cols>
    <col min="1" max="1" width="13.6640625" customWidth="1"/>
    <col min="2" max="2" width="18.6640625" customWidth="1"/>
    <col min="3" max="5" width="13.6640625" customWidth="1"/>
    <col min="6" max="7" width="13.6640625" hidden="1" customWidth="1"/>
    <col min="8" max="9" width="13.6640625" customWidth="1"/>
  </cols>
  <sheetData>
    <row r="1" spans="1:9" ht="21" x14ac:dyDescent="0.4">
      <c r="A1" s="1" t="s">
        <v>40</v>
      </c>
    </row>
    <row r="4" spans="1:9" ht="18" customHeight="1" x14ac:dyDescent="0.3">
      <c r="A4" s="5" t="s">
        <v>21</v>
      </c>
      <c r="B4" s="5" t="s">
        <v>23</v>
      </c>
      <c r="C4" s="5" t="s">
        <v>4</v>
      </c>
      <c r="D4" s="5" t="s">
        <v>24</v>
      </c>
      <c r="E4" s="5" t="s">
        <v>25</v>
      </c>
      <c r="F4" s="5" t="s">
        <v>26</v>
      </c>
      <c r="G4" s="5" t="s">
        <v>41</v>
      </c>
      <c r="H4" s="5" t="s">
        <v>88</v>
      </c>
      <c r="I4" s="5" t="s">
        <v>30</v>
      </c>
    </row>
    <row r="5" spans="1:9" x14ac:dyDescent="0.3">
      <c r="A5" s="6">
        <f>Широкая_таблица!$A$6</f>
        <v>46272</v>
      </c>
      <c r="B5" s="7" t="str">
        <f>Широкая_таблица!$C$6</f>
        <v>Пузанов Д.В.</v>
      </c>
      <c r="C5" s="7" t="str">
        <f>INDEX(Настройки!$A$10:$A$16,1)</f>
        <v>АК-10</v>
      </c>
      <c r="D5" s="7">
        <f>Широкая_таблица!$D$6</f>
        <v>18</v>
      </c>
      <c r="E5" s="7">
        <f>Широкая_таблица!$E$6</f>
        <v>0</v>
      </c>
      <c r="F5" s="7">
        <f>Широкая_таблица!$F$6</f>
        <v>0</v>
      </c>
      <c r="G5" s="7">
        <f>Широкая_таблица!$G$6+Широкая_таблица!$H$6</f>
        <v>13</v>
      </c>
      <c r="H5" s="7">
        <f>Широкая_таблица!$I$6</f>
        <v>0</v>
      </c>
      <c r="I5" s="7">
        <f>Широкая_таблица!$J$6</f>
        <v>31</v>
      </c>
    </row>
    <row r="6" spans="1:9" x14ac:dyDescent="0.3">
      <c r="A6" s="3">
        <f>Широкая_таблица!$A$6</f>
        <v>46272</v>
      </c>
      <c r="B6" s="4" t="str">
        <f>Широкая_таблица!$C$6</f>
        <v>Пузанов Д.В.</v>
      </c>
      <c r="C6" s="4" t="str">
        <f>INDEX(Настройки!$A$10:$A$16,2)</f>
        <v>АК-15</v>
      </c>
      <c r="D6" s="4">
        <f>Широкая_таблица!$K$6</f>
        <v>24</v>
      </c>
      <c r="E6" s="4">
        <f>Широкая_таблица!$L$6</f>
        <v>0</v>
      </c>
      <c r="F6" s="4">
        <f>Широкая_таблица!$M$6</f>
        <v>0</v>
      </c>
      <c r="G6" s="4">
        <f>Широкая_таблица!$N$6+Широкая_таблица!$O$6</f>
        <v>14</v>
      </c>
      <c r="H6" s="4">
        <f>Широкая_таблица!$P$6</f>
        <v>0</v>
      </c>
      <c r="I6" s="4">
        <f>Широкая_таблица!$Q$6</f>
        <v>38</v>
      </c>
    </row>
    <row r="7" spans="1:9" x14ac:dyDescent="0.3">
      <c r="A7" s="6">
        <f>Широкая_таблица!$A$6</f>
        <v>46272</v>
      </c>
      <c r="B7" s="7" t="str">
        <f>Широкая_таблица!$C$6</f>
        <v>Пузанов Д.В.</v>
      </c>
      <c r="C7" s="7" t="str">
        <f>INDEX(Настройки!$A$10:$A$16,3)</f>
        <v>Г 3500</v>
      </c>
      <c r="D7" s="7">
        <f>Широкая_таблица!$R$6</f>
        <v>3</v>
      </c>
      <c r="E7" s="7">
        <f>Широкая_таблица!$S$6</f>
        <v>0</v>
      </c>
      <c r="F7" s="7">
        <f>Широкая_таблица!$T$6</f>
        <v>0</v>
      </c>
      <c r="G7" s="7">
        <f>Широкая_таблица!$U$6+Широкая_таблица!$V$6</f>
        <v>1</v>
      </c>
      <c r="H7" s="7">
        <f>Широкая_таблица!$W$6</f>
        <v>0</v>
      </c>
      <c r="I7" s="7">
        <f>Широкая_таблица!$X$6</f>
        <v>4</v>
      </c>
    </row>
    <row r="8" spans="1:9" x14ac:dyDescent="0.3">
      <c r="A8" s="3">
        <f>Широкая_таблица!$A$6</f>
        <v>46272</v>
      </c>
      <c r="B8" s="4" t="str">
        <f>Широкая_таблица!$C$6</f>
        <v>Пузанов Д.В.</v>
      </c>
      <c r="C8" s="4" t="str">
        <f>INDEX(Настройки!$A$10:$A$16,4)</f>
        <v>Г 1800</v>
      </c>
      <c r="D8" s="4">
        <f>Широкая_таблица!$Y$6</f>
        <v>66</v>
      </c>
      <c r="E8" s="4">
        <f>Широкая_таблица!$Z$6</f>
        <v>3</v>
      </c>
      <c r="F8" s="4">
        <f>Широкая_таблица!$AA$6</f>
        <v>0</v>
      </c>
      <c r="G8" s="4">
        <f>Широкая_таблица!$AB$6+Широкая_таблица!$AC$6</f>
        <v>-22</v>
      </c>
      <c r="H8" s="4">
        <f>Широкая_таблица!$AD$6</f>
        <v>3</v>
      </c>
      <c r="I8" s="4">
        <f>Широкая_таблица!$AE$6</f>
        <v>44</v>
      </c>
    </row>
    <row r="9" spans="1:9" x14ac:dyDescent="0.3">
      <c r="A9" s="6">
        <f>Широкая_таблица!$A$6</f>
        <v>46272</v>
      </c>
      <c r="B9" s="7" t="str">
        <f>Широкая_таблица!$C$6</f>
        <v>Пузанов Д.В.</v>
      </c>
      <c r="C9" s="7" t="str">
        <f>INDEX(Настройки!$A$10:$A$16,5)</f>
        <v>Г 800</v>
      </c>
      <c r="D9" s="7">
        <f>Широкая_таблица!$AF$6</f>
        <v>39</v>
      </c>
      <c r="E9" s="7">
        <f>Широкая_таблица!$AG$6</f>
        <v>2</v>
      </c>
      <c r="F9" s="7">
        <f>Широкая_таблица!$AH$6</f>
        <v>0</v>
      </c>
      <c r="G9" s="7">
        <f>Широкая_таблица!$AI$6+Широкая_таблица!$AJ$6</f>
        <v>-1</v>
      </c>
      <c r="H9" s="7">
        <f>Широкая_таблица!$AK$6</f>
        <v>2</v>
      </c>
      <c r="I9" s="7">
        <f>Широкая_таблица!$AL$6</f>
        <v>38</v>
      </c>
    </row>
    <row r="10" spans="1:9" x14ac:dyDescent="0.3">
      <c r="A10" s="3">
        <f>Широкая_таблица!$A$6</f>
        <v>46272</v>
      </c>
      <c r="B10" s="4" t="str">
        <f>Широкая_таблица!$C$6</f>
        <v>Пузанов Д.В.</v>
      </c>
      <c r="C10" s="4" t="str">
        <f>INDEX(Настройки!$A$10:$A$16,6)</f>
        <v>Ми-К</v>
      </c>
      <c r="D10" s="4">
        <f>Широкая_таблица!$AM$6</f>
        <v>17</v>
      </c>
      <c r="E10" s="4">
        <f>Широкая_таблица!$AN$6</f>
        <v>1</v>
      </c>
      <c r="F10" s="4">
        <f>Широкая_таблица!$AO$6</f>
        <v>0</v>
      </c>
      <c r="G10" s="4">
        <f>Широкая_таблица!$AP$6+Широкая_таблица!$AQ$6</f>
        <v>-12</v>
      </c>
      <c r="H10" s="4">
        <f>Широкая_таблица!$AR$6</f>
        <v>1</v>
      </c>
      <c r="I10" s="4">
        <f>Широкая_таблица!$AS$6</f>
        <v>5</v>
      </c>
    </row>
    <row r="11" spans="1:9" x14ac:dyDescent="0.3">
      <c r="A11" s="6">
        <f>Широкая_таблица!$A$6</f>
        <v>46272</v>
      </c>
      <c r="B11" s="7" t="str">
        <f>Широкая_таблица!$C$6</f>
        <v>Пузанов Д.В.</v>
      </c>
      <c r="C11" s="7" t="str">
        <f>INDEX(Настройки!$A$10:$A$16,7)</f>
        <v>Ми-П</v>
      </c>
      <c r="D11" s="7">
        <f>Широкая_таблица!$AT$6</f>
        <v>0</v>
      </c>
      <c r="E11" s="7">
        <f>Широкая_таблица!$AU$6</f>
        <v>0</v>
      </c>
      <c r="F11" s="7">
        <f>Широкая_таблица!$AV$6</f>
        <v>0</v>
      </c>
      <c r="G11" s="7">
        <f>Широкая_таблица!$AW$6+Широкая_таблица!$AX$6</f>
        <v>0</v>
      </c>
      <c r="H11" s="7">
        <f>Широкая_таблица!$AY$6</f>
        <v>0</v>
      </c>
      <c r="I11" s="7">
        <f>Широкая_таблица!$AZ$6</f>
        <v>0</v>
      </c>
    </row>
    <row r="12" spans="1:9" x14ac:dyDescent="0.3">
      <c r="A12" s="3">
        <f>Широкая_таблица!$A$7</f>
        <v>46273</v>
      </c>
      <c r="B12" s="4" t="str">
        <f>Широкая_таблица!$C$7</f>
        <v>Завалишин Д.Л.</v>
      </c>
      <c r="C12" s="4" t="str">
        <f>INDEX(Настройки!$A$10:$A$16,1)</f>
        <v>АК-10</v>
      </c>
      <c r="D12" s="4">
        <f>Широкая_таблица!$D$7</f>
        <v>31</v>
      </c>
      <c r="E12" s="4">
        <f>Широкая_таблица!$E$7</f>
        <v>0</v>
      </c>
      <c r="F12" s="4">
        <f>Широкая_таблица!$F$7</f>
        <v>0</v>
      </c>
      <c r="G12" s="4">
        <f>Широкая_таблица!$G$7+Широкая_таблица!$H$7</f>
        <v>0</v>
      </c>
      <c r="H12" s="4">
        <f>Широкая_таблица!$I$7</f>
        <v>1</v>
      </c>
      <c r="I12" s="4">
        <f>Широкая_таблица!$J$7</f>
        <v>30</v>
      </c>
    </row>
    <row r="13" spans="1:9" x14ac:dyDescent="0.3">
      <c r="A13" s="6">
        <f>Широкая_таблица!$A$7</f>
        <v>46273</v>
      </c>
      <c r="B13" s="7" t="str">
        <f>Широкая_таблица!$C$7</f>
        <v>Завалишин Д.Л.</v>
      </c>
      <c r="C13" s="7" t="str">
        <f>INDEX(Настройки!$A$10:$A$16,2)</f>
        <v>АК-15</v>
      </c>
      <c r="D13" s="7">
        <f>Широкая_таблица!$K$7</f>
        <v>38</v>
      </c>
      <c r="E13" s="7">
        <f>Широкая_таблица!$L$7</f>
        <v>0</v>
      </c>
      <c r="F13" s="7">
        <f>Широкая_таблица!$M$7</f>
        <v>0</v>
      </c>
      <c r="G13" s="7">
        <f>Широкая_таблица!$N$7+Широкая_таблица!$O$7</f>
        <v>0</v>
      </c>
      <c r="H13" s="7">
        <f>Широкая_таблица!$P$7</f>
        <v>1</v>
      </c>
      <c r="I13" s="7">
        <f>Широкая_таблица!$Q$7</f>
        <v>37</v>
      </c>
    </row>
    <row r="14" spans="1:9" x14ac:dyDescent="0.3">
      <c r="A14" s="3">
        <f>Широкая_таблица!$A$7</f>
        <v>46273</v>
      </c>
      <c r="B14" s="4" t="str">
        <f>Широкая_таблица!$C$7</f>
        <v>Завалишин Д.Л.</v>
      </c>
      <c r="C14" s="4" t="str">
        <f>INDEX(Настройки!$A$10:$A$16,3)</f>
        <v>Г 3500</v>
      </c>
      <c r="D14" s="4">
        <f>Широкая_таблица!$R$7</f>
        <v>4</v>
      </c>
      <c r="E14" s="4">
        <f>Широкая_таблица!$S$7</f>
        <v>0</v>
      </c>
      <c r="F14" s="4">
        <f>Широкая_таблица!$T$7</f>
        <v>0</v>
      </c>
      <c r="G14" s="4">
        <f>Широкая_таблица!$U$7+Широкая_таблица!$V$7</f>
        <v>0</v>
      </c>
      <c r="H14" s="4">
        <f>Широкая_таблица!$W$7</f>
        <v>0</v>
      </c>
      <c r="I14" s="4">
        <f>Широкая_таблица!$X$7</f>
        <v>4</v>
      </c>
    </row>
    <row r="15" spans="1:9" x14ac:dyDescent="0.3">
      <c r="A15" s="6">
        <f>Широкая_таблица!$A$7</f>
        <v>46273</v>
      </c>
      <c r="B15" s="7" t="str">
        <f>Широкая_таблица!$C$7</f>
        <v>Завалишин Д.Л.</v>
      </c>
      <c r="C15" s="7" t="str">
        <f>INDEX(Настройки!$A$10:$A$16,4)</f>
        <v>Г 1800</v>
      </c>
      <c r="D15" s="7">
        <f>Широкая_таблица!$Y$7</f>
        <v>44</v>
      </c>
      <c r="E15" s="7">
        <f>Широкая_таблица!$Z$7</f>
        <v>0</v>
      </c>
      <c r="F15" s="7">
        <f>Широкая_таблица!$AA$7</f>
        <v>0</v>
      </c>
      <c r="G15" s="7">
        <f>Широкая_таблица!$AB$7+Широкая_таблица!$AC$7</f>
        <v>0</v>
      </c>
      <c r="H15" s="7">
        <f>Широкая_таблица!$AD$7</f>
        <v>11</v>
      </c>
      <c r="I15" s="7">
        <f>Широкая_таблица!$AE$7</f>
        <v>33</v>
      </c>
    </row>
    <row r="16" spans="1:9" x14ac:dyDescent="0.3">
      <c r="A16" s="3">
        <f>Широкая_таблица!$A$7</f>
        <v>46273</v>
      </c>
      <c r="B16" s="4" t="str">
        <f>Широкая_таблица!$C$7</f>
        <v>Завалишин Д.Л.</v>
      </c>
      <c r="C16" s="4" t="str">
        <f>INDEX(Настройки!$A$10:$A$16,5)</f>
        <v>Г 800</v>
      </c>
      <c r="D16" s="4">
        <f>Широкая_таблица!$AF$7</f>
        <v>38</v>
      </c>
      <c r="E16" s="4">
        <f>Широкая_таблица!$AG$7</f>
        <v>0</v>
      </c>
      <c r="F16" s="4">
        <f>Широкая_таблица!$AH$7</f>
        <v>0</v>
      </c>
      <c r="G16" s="4">
        <f>Широкая_таблица!$AI$7+Широкая_таблица!$AJ$7</f>
        <v>0</v>
      </c>
      <c r="H16" s="4">
        <f>Широкая_таблица!$AK$7</f>
        <v>3</v>
      </c>
      <c r="I16" s="4">
        <f>Широкая_таблица!$AL$7</f>
        <v>35</v>
      </c>
    </row>
    <row r="17" spans="1:9" x14ac:dyDescent="0.3">
      <c r="A17" s="6">
        <f>Широкая_таблица!$A$7</f>
        <v>46273</v>
      </c>
      <c r="B17" s="7" t="str">
        <f>Широкая_таблица!$C$7</f>
        <v>Завалишин Д.Л.</v>
      </c>
      <c r="C17" s="7" t="str">
        <f>INDEX(Настройки!$A$10:$A$16,6)</f>
        <v>Ми-К</v>
      </c>
      <c r="D17" s="7">
        <f>Широкая_таблица!$AM$7</f>
        <v>5</v>
      </c>
      <c r="E17" s="7">
        <f>Широкая_таблица!$AN$7</f>
        <v>0</v>
      </c>
      <c r="F17" s="7">
        <f>Широкая_таблица!$AO$7</f>
        <v>0</v>
      </c>
      <c r="G17" s="7">
        <f>Широкая_таблица!$AP$7+Широкая_таблица!$AQ$7</f>
        <v>0</v>
      </c>
      <c r="H17" s="7">
        <f>Широкая_таблица!$AR$7</f>
        <v>0</v>
      </c>
      <c r="I17" s="7">
        <f>Широкая_таблица!$AS$7</f>
        <v>5</v>
      </c>
    </row>
    <row r="18" spans="1:9" x14ac:dyDescent="0.3">
      <c r="A18" s="3">
        <f>Широкая_таблица!$A$7</f>
        <v>46273</v>
      </c>
      <c r="B18" s="4" t="str">
        <f>Широкая_таблица!$C$7</f>
        <v>Завалишин Д.Л.</v>
      </c>
      <c r="C18" s="4" t="str">
        <f>INDEX(Настройки!$A$10:$A$16,7)</f>
        <v>Ми-П</v>
      </c>
      <c r="D18" s="4">
        <f>Широкая_таблица!$AT$7</f>
        <v>0</v>
      </c>
      <c r="E18" s="4">
        <f>Широкая_таблица!$AU$7</f>
        <v>0</v>
      </c>
      <c r="F18" s="4">
        <f>Широкая_таблица!$AV$7</f>
        <v>0</v>
      </c>
      <c r="G18" s="4">
        <f>Широкая_таблица!$AW$7+Широкая_таблица!$AX$7</f>
        <v>0</v>
      </c>
      <c r="H18" s="4">
        <f>Широкая_таблица!$AY$7</f>
        <v>0</v>
      </c>
      <c r="I18" s="4">
        <f>Широкая_таблица!$AZ$7</f>
        <v>0</v>
      </c>
    </row>
    <row r="19" spans="1:9" x14ac:dyDescent="0.3">
      <c r="A19" s="6">
        <f>Широкая_таблица!$A$8</f>
        <v>46274</v>
      </c>
      <c r="B19" s="7" t="str">
        <f>Широкая_таблица!$C$8</f>
        <v>Завалишин Д.Л.</v>
      </c>
      <c r="C19" s="7" t="str">
        <f>INDEX(Настройки!$A$10:$A$16,1)</f>
        <v>АК-10</v>
      </c>
      <c r="D19" s="7">
        <f>Широкая_таблица!$D$8</f>
        <v>30</v>
      </c>
      <c r="E19" s="7">
        <f>Широкая_таблица!$E$8</f>
        <v>0</v>
      </c>
      <c r="F19" s="7">
        <f>Широкая_таблица!$F$8</f>
        <v>0</v>
      </c>
      <c r="G19" s="7">
        <f>Широкая_таблица!$G$8+Широкая_таблица!$H$8</f>
        <v>0</v>
      </c>
      <c r="H19" s="7">
        <f>Широкая_таблица!$I$8</f>
        <v>0</v>
      </c>
      <c r="I19" s="7">
        <f>Широкая_таблица!$J$8</f>
        <v>30</v>
      </c>
    </row>
    <row r="20" spans="1:9" x14ac:dyDescent="0.3">
      <c r="A20" s="3">
        <f>Широкая_таблица!$A$8</f>
        <v>46274</v>
      </c>
      <c r="B20" s="4" t="str">
        <f>Широкая_таблица!$C$8</f>
        <v>Завалишин Д.Л.</v>
      </c>
      <c r="C20" s="4" t="str">
        <f>INDEX(Настройки!$A$10:$A$16,2)</f>
        <v>АК-15</v>
      </c>
      <c r="D20" s="4">
        <f>Широкая_таблица!$K$8</f>
        <v>37</v>
      </c>
      <c r="E20" s="4">
        <f>Широкая_таблица!$L$8</f>
        <v>0</v>
      </c>
      <c r="F20" s="4">
        <f>Широкая_таблица!$M$8</f>
        <v>0</v>
      </c>
      <c r="G20" s="4">
        <f>Широкая_таблица!$N$8+Широкая_таблица!$O$8</f>
        <v>0</v>
      </c>
      <c r="H20" s="4">
        <f>Широкая_таблица!$P$8</f>
        <v>1</v>
      </c>
      <c r="I20" s="4">
        <f>Широкая_таблица!$Q$8</f>
        <v>36</v>
      </c>
    </row>
    <row r="21" spans="1:9" x14ac:dyDescent="0.3">
      <c r="A21" s="6">
        <f>Широкая_таблица!$A$8</f>
        <v>46274</v>
      </c>
      <c r="B21" s="7" t="str">
        <f>Широкая_таблица!$C$8</f>
        <v>Завалишин Д.Л.</v>
      </c>
      <c r="C21" s="7" t="str">
        <f>INDEX(Настройки!$A$10:$A$16,3)</f>
        <v>Г 3500</v>
      </c>
      <c r="D21" s="7">
        <f>Широкая_таблица!$R$8</f>
        <v>4</v>
      </c>
      <c r="E21" s="7">
        <f>Широкая_таблица!$S$8</f>
        <v>0</v>
      </c>
      <c r="F21" s="7">
        <f>Широкая_таблица!$T$8</f>
        <v>0</v>
      </c>
      <c r="G21" s="7">
        <f>Широкая_таблица!$U$8+Широкая_таблица!$V$8</f>
        <v>0</v>
      </c>
      <c r="H21" s="7">
        <f>Широкая_таблица!$W$8</f>
        <v>0</v>
      </c>
      <c r="I21" s="7">
        <f>Широкая_таблица!$X$8</f>
        <v>4</v>
      </c>
    </row>
    <row r="22" spans="1:9" x14ac:dyDescent="0.3">
      <c r="A22" s="3">
        <f>Широкая_таблица!$A$8</f>
        <v>46274</v>
      </c>
      <c r="B22" s="4" t="str">
        <f>Широкая_таблица!$C$8</f>
        <v>Завалишин Д.Л.</v>
      </c>
      <c r="C22" s="4" t="str">
        <f>INDEX(Настройки!$A$10:$A$16,4)</f>
        <v>Г 1800</v>
      </c>
      <c r="D22" s="4">
        <f>Широкая_таблица!$Y$8</f>
        <v>33</v>
      </c>
      <c r="E22" s="4">
        <f>Широкая_таблица!$Z$8</f>
        <v>0</v>
      </c>
      <c r="F22" s="4">
        <f>Широкая_таблица!$AA$8</f>
        <v>0</v>
      </c>
      <c r="G22" s="4">
        <f>Широкая_таблица!$AB$8+Широкая_таблица!$AC$8</f>
        <v>0</v>
      </c>
      <c r="H22" s="4">
        <f>Широкая_таблица!$AD$8</f>
        <v>8</v>
      </c>
      <c r="I22" s="4">
        <f>Широкая_таблица!$AE$8</f>
        <v>25</v>
      </c>
    </row>
    <row r="23" spans="1:9" x14ac:dyDescent="0.3">
      <c r="A23" s="6">
        <f>Широкая_таблица!$A$8</f>
        <v>46274</v>
      </c>
      <c r="B23" s="7" t="str">
        <f>Широкая_таблица!$C$8</f>
        <v>Завалишин Д.Л.</v>
      </c>
      <c r="C23" s="7" t="str">
        <f>INDEX(Настройки!$A$10:$A$16,5)</f>
        <v>Г 800</v>
      </c>
      <c r="D23" s="7">
        <f>Широкая_таблица!$AF$8</f>
        <v>35</v>
      </c>
      <c r="E23" s="7">
        <f>Широкая_таблица!$AG$8</f>
        <v>0</v>
      </c>
      <c r="F23" s="7">
        <f>Широкая_таблица!$AH$8</f>
        <v>0</v>
      </c>
      <c r="G23" s="7">
        <f>Широкая_таблица!$AI$8+Широкая_таблица!$AJ$8</f>
        <v>0</v>
      </c>
      <c r="H23" s="7">
        <f>Широкая_таблица!$AK$8</f>
        <v>5</v>
      </c>
      <c r="I23" s="7">
        <f>Широкая_таблица!$AL$8</f>
        <v>30</v>
      </c>
    </row>
    <row r="24" spans="1:9" x14ac:dyDescent="0.3">
      <c r="A24" s="3">
        <f>Широкая_таблица!$A$8</f>
        <v>46274</v>
      </c>
      <c r="B24" s="4" t="str">
        <f>Широкая_таблица!$C$8</f>
        <v>Завалишин Д.Л.</v>
      </c>
      <c r="C24" s="4" t="str">
        <f>INDEX(Настройки!$A$10:$A$16,6)</f>
        <v>Ми-К</v>
      </c>
      <c r="D24" s="4">
        <f>Широкая_таблица!$AM$8</f>
        <v>5</v>
      </c>
      <c r="E24" s="4">
        <f>Широкая_таблица!$AN$8</f>
        <v>0</v>
      </c>
      <c r="F24" s="4">
        <f>Широкая_таблица!$AO$8</f>
        <v>0</v>
      </c>
      <c r="G24" s="4">
        <f>Широкая_таблица!$AP$8+Широкая_таблица!$AQ$8</f>
        <v>0</v>
      </c>
      <c r="H24" s="4">
        <f>Широкая_таблица!$AR$8</f>
        <v>1</v>
      </c>
      <c r="I24" s="4">
        <f>Широкая_таблица!$AS$8</f>
        <v>4</v>
      </c>
    </row>
    <row r="25" spans="1:9" x14ac:dyDescent="0.3">
      <c r="A25" s="6">
        <f>Широкая_таблица!$A$8</f>
        <v>46274</v>
      </c>
      <c r="B25" s="7" t="str">
        <f>Широкая_таблица!$C$8</f>
        <v>Завалишин Д.Л.</v>
      </c>
      <c r="C25" s="7" t="str">
        <f>INDEX(Настройки!$A$10:$A$16,7)</f>
        <v>Ми-П</v>
      </c>
      <c r="D25" s="7">
        <f>Широкая_таблица!$AT$8</f>
        <v>0</v>
      </c>
      <c r="E25" s="7">
        <f>Широкая_таблица!$AU$8</f>
        <v>0</v>
      </c>
      <c r="F25" s="7">
        <f>Широкая_таблица!$AV$8</f>
        <v>0</v>
      </c>
      <c r="G25" s="7">
        <f>Широкая_таблица!$AW$8+Широкая_таблица!$AX$8</f>
        <v>0</v>
      </c>
      <c r="H25" s="7">
        <f>Широкая_таблица!$AY$8</f>
        <v>0</v>
      </c>
      <c r="I25" s="7">
        <f>Широкая_таблица!$AZ$8</f>
        <v>0</v>
      </c>
    </row>
    <row r="26" spans="1:9" x14ac:dyDescent="0.3">
      <c r="A26" s="3">
        <f>Широкая_таблица!$A$9</f>
        <v>46275</v>
      </c>
      <c r="B26" s="4" t="str">
        <f>Широкая_таблица!$C$9</f>
        <v>Завалишин Д.Л.</v>
      </c>
      <c r="C26" s="4" t="str">
        <f>INDEX(Настройки!$A$10:$A$16,1)</f>
        <v>АК-10</v>
      </c>
      <c r="D26" s="4">
        <f>Широкая_таблица!$D$9</f>
        <v>30</v>
      </c>
      <c r="E26" s="4">
        <f>Широкая_таблица!$E$9</f>
        <v>0</v>
      </c>
      <c r="F26" s="4">
        <f>Широкая_таблица!$F$9</f>
        <v>0</v>
      </c>
      <c r="G26" s="4">
        <f>Широкая_таблица!$G$9+Широкая_таблица!$H$9</f>
        <v>0</v>
      </c>
      <c r="H26" s="4">
        <f>Широкая_таблица!$I$9</f>
        <v>0</v>
      </c>
      <c r="I26" s="4">
        <f>Широкая_таблица!$J$9</f>
        <v>30</v>
      </c>
    </row>
    <row r="27" spans="1:9" x14ac:dyDescent="0.3">
      <c r="A27" s="6">
        <f>Широкая_таблица!$A$9</f>
        <v>46275</v>
      </c>
      <c r="B27" s="7" t="str">
        <f>Широкая_таблица!$C$9</f>
        <v>Завалишин Д.Л.</v>
      </c>
      <c r="C27" s="7" t="str">
        <f>INDEX(Настройки!$A$10:$A$16,2)</f>
        <v>АК-15</v>
      </c>
      <c r="D27" s="7">
        <f>Широкая_таблица!$K$9</f>
        <v>36</v>
      </c>
      <c r="E27" s="7">
        <f>Широкая_таблица!$L$9</f>
        <v>10</v>
      </c>
      <c r="F27" s="7">
        <f>Широкая_таблица!$M$9</f>
        <v>0</v>
      </c>
      <c r="G27" s="7">
        <f>Широкая_таблица!$N$9+Широкая_таблица!$O$9</f>
        <v>0</v>
      </c>
      <c r="H27" s="7">
        <f>Широкая_таблица!$P$9</f>
        <v>0</v>
      </c>
      <c r="I27" s="7">
        <f>Широкая_таблица!$Q$9</f>
        <v>46</v>
      </c>
    </row>
    <row r="28" spans="1:9" x14ac:dyDescent="0.3">
      <c r="A28" s="3">
        <f>Широкая_таблица!$A$9</f>
        <v>46275</v>
      </c>
      <c r="B28" s="4" t="str">
        <f>Широкая_таблица!$C$9</f>
        <v>Завалишин Д.Л.</v>
      </c>
      <c r="C28" s="4" t="str">
        <f>INDEX(Настройки!$A$10:$A$16,3)</f>
        <v>Г 3500</v>
      </c>
      <c r="D28" s="4">
        <f>Широкая_таблица!$R$9</f>
        <v>4</v>
      </c>
      <c r="E28" s="4">
        <f>Широкая_таблица!$S$9</f>
        <v>2</v>
      </c>
      <c r="F28" s="4">
        <f>Широкая_таблица!$T$9</f>
        <v>0</v>
      </c>
      <c r="G28" s="4">
        <f>Широкая_таблица!$U$9+Широкая_таблица!$V$9</f>
        <v>0</v>
      </c>
      <c r="H28" s="4">
        <f>Широкая_таблица!$W$9</f>
        <v>0</v>
      </c>
      <c r="I28" s="4">
        <f>Широкая_таблица!$X$9</f>
        <v>6</v>
      </c>
    </row>
    <row r="29" spans="1:9" x14ac:dyDescent="0.3">
      <c r="A29" s="6">
        <f>Широкая_таблица!$A$9</f>
        <v>46275</v>
      </c>
      <c r="B29" s="7" t="str">
        <f>Широкая_таблица!$C$9</f>
        <v>Завалишин Д.Л.</v>
      </c>
      <c r="C29" s="7" t="str">
        <f>INDEX(Настройки!$A$10:$A$16,4)</f>
        <v>Г 1800</v>
      </c>
      <c r="D29" s="7">
        <f>Широкая_таблица!$Y$9</f>
        <v>25</v>
      </c>
      <c r="E29" s="7">
        <f>Широкая_таблица!$Z$9</f>
        <v>129</v>
      </c>
      <c r="F29" s="7">
        <f>Широкая_таблица!$AA$9</f>
        <v>0</v>
      </c>
      <c r="G29" s="7">
        <f>Широкая_таблица!$AB$9+Широкая_таблица!$AC$9</f>
        <v>0</v>
      </c>
      <c r="H29" s="7">
        <f>Широкая_таблица!$AD$9</f>
        <v>10</v>
      </c>
      <c r="I29" s="7">
        <f>Широкая_таблица!$AE$9</f>
        <v>144</v>
      </c>
    </row>
    <row r="30" spans="1:9" x14ac:dyDescent="0.3">
      <c r="A30" s="3">
        <f>Широкая_таблица!$A$9</f>
        <v>46275</v>
      </c>
      <c r="B30" s="4" t="str">
        <f>Широкая_таблица!$C$9</f>
        <v>Завалишин Д.Л.</v>
      </c>
      <c r="C30" s="4" t="str">
        <f>INDEX(Настройки!$A$10:$A$16,5)</f>
        <v>Г 800</v>
      </c>
      <c r="D30" s="4">
        <f>Широкая_таблица!$AF$9</f>
        <v>30</v>
      </c>
      <c r="E30" s="4">
        <f>Широкая_таблица!$AG$9</f>
        <v>0</v>
      </c>
      <c r="F30" s="4">
        <f>Широкая_таблица!$AH$9</f>
        <v>0</v>
      </c>
      <c r="G30" s="4">
        <f>Широкая_таблица!$AI$9+Широкая_таблица!$AJ$9</f>
        <v>0</v>
      </c>
      <c r="H30" s="4">
        <f>Широкая_таблица!$AK$9</f>
        <v>8</v>
      </c>
      <c r="I30" s="4">
        <f>Широкая_таблица!$AL$9</f>
        <v>22</v>
      </c>
    </row>
    <row r="31" spans="1:9" x14ac:dyDescent="0.3">
      <c r="A31" s="6">
        <f>Широкая_таблица!$A$9</f>
        <v>46275</v>
      </c>
      <c r="B31" s="7" t="str">
        <f>Широкая_таблица!$C$9</f>
        <v>Завалишин Д.Л.</v>
      </c>
      <c r="C31" s="7" t="str">
        <f>INDEX(Настройки!$A$10:$A$16,6)</f>
        <v>Ми-К</v>
      </c>
      <c r="D31" s="7">
        <f>Широкая_таблица!$AM$9</f>
        <v>4</v>
      </c>
      <c r="E31" s="7">
        <f>Широкая_таблица!$AN$9</f>
        <v>10</v>
      </c>
      <c r="F31" s="7">
        <f>Широкая_таблица!$AO$9</f>
        <v>0</v>
      </c>
      <c r="G31" s="7">
        <f>Широкая_таблица!$AP$9+Широкая_таблица!$AQ$9</f>
        <v>0</v>
      </c>
      <c r="H31" s="7">
        <f>Широкая_таблица!$AR$9</f>
        <v>1</v>
      </c>
      <c r="I31" s="7">
        <f>Широкая_таблица!$AS$9</f>
        <v>13</v>
      </c>
    </row>
    <row r="32" spans="1:9" x14ac:dyDescent="0.3">
      <c r="A32" s="3">
        <f>Широкая_таблица!$A$9</f>
        <v>46275</v>
      </c>
      <c r="B32" s="4" t="str">
        <f>Широкая_таблица!$C$9</f>
        <v>Завалишин Д.Л.</v>
      </c>
      <c r="C32" s="4" t="str">
        <f>INDEX(Настройки!$A$10:$A$16,7)</f>
        <v>Ми-П</v>
      </c>
      <c r="D32" s="4">
        <f>Широкая_таблица!$AT$9</f>
        <v>0</v>
      </c>
      <c r="E32" s="4">
        <f>Широкая_таблица!$AU$9</f>
        <v>27</v>
      </c>
      <c r="F32" s="4">
        <f>Широкая_таблица!$AV$9</f>
        <v>0</v>
      </c>
      <c r="G32" s="4">
        <f>Широкая_таблица!$AW$9+Широкая_таблица!$AX$9</f>
        <v>-2</v>
      </c>
      <c r="H32" s="4">
        <f>Широкая_таблица!$AY$9</f>
        <v>1</v>
      </c>
      <c r="I32" s="4">
        <f>Широкая_таблица!$AZ$9</f>
        <v>24</v>
      </c>
    </row>
    <row r="33" spans="1:9" x14ac:dyDescent="0.3">
      <c r="A33" s="6">
        <f>Широкая_таблица!$A$10</f>
        <v>46276</v>
      </c>
      <c r="B33" s="7" t="str">
        <f>Широкая_таблица!$C$10</f>
        <v>Пузанов Д.В.</v>
      </c>
      <c r="C33" s="7" t="str">
        <f>INDEX(Настройки!$A$10:$A$16,1)</f>
        <v>АК-10</v>
      </c>
      <c r="D33" s="7">
        <f>Широкая_таблица!$D$10</f>
        <v>30</v>
      </c>
      <c r="E33" s="7">
        <f>Широкая_таблица!$E$10</f>
        <v>0</v>
      </c>
      <c r="F33" s="7">
        <f>Широкая_таблица!$F$10</f>
        <v>0</v>
      </c>
      <c r="G33" s="7">
        <f>Широкая_таблица!$G$10+Широкая_таблица!$H$10</f>
        <v>0</v>
      </c>
      <c r="H33" s="7">
        <f>Широкая_таблица!$I$10</f>
        <v>5</v>
      </c>
      <c r="I33" s="7">
        <f>Широкая_таблица!$J$10</f>
        <v>25</v>
      </c>
    </row>
    <row r="34" spans="1:9" x14ac:dyDescent="0.3">
      <c r="A34" s="3">
        <f>Широкая_таблица!$A$10</f>
        <v>46276</v>
      </c>
      <c r="B34" s="4" t="str">
        <f>Широкая_таблица!$C$10</f>
        <v>Пузанов Д.В.</v>
      </c>
      <c r="C34" s="4" t="str">
        <f>INDEX(Настройки!$A$10:$A$16,2)</f>
        <v>АК-15</v>
      </c>
      <c r="D34" s="4">
        <f>Широкая_таблица!$K$10</f>
        <v>46</v>
      </c>
      <c r="E34" s="4">
        <f>Широкая_таблица!$L$10</f>
        <v>0</v>
      </c>
      <c r="F34" s="4">
        <f>Широкая_таблица!$M$10</f>
        <v>0</v>
      </c>
      <c r="G34" s="4">
        <f>Широкая_таблица!$N$10+Широкая_таблица!$O$10</f>
        <v>0</v>
      </c>
      <c r="H34" s="4">
        <f>Широкая_таблица!$P$10</f>
        <v>2</v>
      </c>
      <c r="I34" s="4">
        <f>Широкая_таблица!$Q$10</f>
        <v>44</v>
      </c>
    </row>
    <row r="35" spans="1:9" x14ac:dyDescent="0.3">
      <c r="A35" s="6">
        <f>Широкая_таблица!$A$10</f>
        <v>46276</v>
      </c>
      <c r="B35" s="7" t="str">
        <f>Широкая_таблица!$C$10</f>
        <v>Пузанов Д.В.</v>
      </c>
      <c r="C35" s="7" t="str">
        <f>INDEX(Настройки!$A$10:$A$16,3)</f>
        <v>Г 3500</v>
      </c>
      <c r="D35" s="7">
        <f>Широкая_таблица!$R$10</f>
        <v>6</v>
      </c>
      <c r="E35" s="7">
        <f>Широкая_таблица!$S$10</f>
        <v>0</v>
      </c>
      <c r="F35" s="7">
        <f>Широкая_таблица!$T$10</f>
        <v>0</v>
      </c>
      <c r="G35" s="7">
        <f>Широкая_таблица!$U$10+Широкая_таблица!$V$10</f>
        <v>0</v>
      </c>
      <c r="H35" s="7">
        <f>Широкая_таблица!$W$10</f>
        <v>2</v>
      </c>
      <c r="I35" s="7">
        <f>Широкая_таблица!$X$10</f>
        <v>4</v>
      </c>
    </row>
    <row r="36" spans="1:9" x14ac:dyDescent="0.3">
      <c r="A36" s="3">
        <f>Широкая_таблица!$A$10</f>
        <v>46276</v>
      </c>
      <c r="B36" s="4" t="str">
        <f>Широкая_таблица!$C$10</f>
        <v>Пузанов Д.В.</v>
      </c>
      <c r="C36" s="4" t="str">
        <f>INDEX(Настройки!$A$10:$A$16,4)</f>
        <v>Г 1800</v>
      </c>
      <c r="D36" s="4">
        <f>Широкая_таблица!$Y$10</f>
        <v>144</v>
      </c>
      <c r="E36" s="4">
        <f>Широкая_таблица!$Z$10</f>
        <v>0</v>
      </c>
      <c r="F36" s="4">
        <f>Широкая_таблица!$AA$10</f>
        <v>0</v>
      </c>
      <c r="G36" s="4">
        <f>Широкая_таблица!$AB$10+Широкая_таблица!$AC$10</f>
        <v>0</v>
      </c>
      <c r="H36" s="4">
        <f>Широкая_таблица!$AD$10</f>
        <v>12</v>
      </c>
      <c r="I36" s="4">
        <f>Широкая_таблица!$AE$10</f>
        <v>132</v>
      </c>
    </row>
    <row r="37" spans="1:9" x14ac:dyDescent="0.3">
      <c r="A37" s="6">
        <f>Широкая_таблица!$A$10</f>
        <v>46276</v>
      </c>
      <c r="B37" s="7" t="str">
        <f>Широкая_таблица!$C$10</f>
        <v>Пузанов Д.В.</v>
      </c>
      <c r="C37" s="7" t="str">
        <f>INDEX(Настройки!$A$10:$A$16,5)</f>
        <v>Г 800</v>
      </c>
      <c r="D37" s="7">
        <f>Широкая_таблица!$AF$10</f>
        <v>22</v>
      </c>
      <c r="E37" s="7">
        <f>Широкая_таблица!$AG$10</f>
        <v>64</v>
      </c>
      <c r="F37" s="7">
        <f>Широкая_таблица!$AH$10</f>
        <v>0</v>
      </c>
      <c r="G37" s="7">
        <f>Широкая_таблица!$AI$10+Широкая_таблица!$AJ$10</f>
        <v>0</v>
      </c>
      <c r="H37" s="7">
        <f>Широкая_таблица!$AK$10</f>
        <v>4</v>
      </c>
      <c r="I37" s="7">
        <f>Широкая_таблица!$AL$10</f>
        <v>82</v>
      </c>
    </row>
    <row r="38" spans="1:9" x14ac:dyDescent="0.3">
      <c r="A38" s="3">
        <f>Широкая_таблица!$A$10</f>
        <v>46276</v>
      </c>
      <c r="B38" s="4" t="str">
        <f>Широкая_таблица!$C$10</f>
        <v>Пузанов Д.В.</v>
      </c>
      <c r="C38" s="4" t="str">
        <f>INDEX(Настройки!$A$10:$A$16,6)</f>
        <v>Ми-К</v>
      </c>
      <c r="D38" s="4">
        <f>Широкая_таблица!$AM$10</f>
        <v>13</v>
      </c>
      <c r="E38" s="4">
        <f>Широкая_таблица!$AN$10</f>
        <v>0</v>
      </c>
      <c r="F38" s="4">
        <f>Широкая_таблица!$AO$10</f>
        <v>0</v>
      </c>
      <c r="G38" s="4">
        <f>Широкая_таблица!$AP$10+Широкая_таблица!$AQ$10</f>
        <v>0</v>
      </c>
      <c r="H38" s="4">
        <f>Широкая_таблица!$AR$10</f>
        <v>6</v>
      </c>
      <c r="I38" s="4">
        <f>Широкая_таблица!$AS$10</f>
        <v>7</v>
      </c>
    </row>
    <row r="39" spans="1:9" x14ac:dyDescent="0.3">
      <c r="A39" s="6">
        <f>Широкая_таблица!$A$10</f>
        <v>46276</v>
      </c>
      <c r="B39" s="7" t="str">
        <f>Широкая_таблица!$C$10</f>
        <v>Пузанов Д.В.</v>
      </c>
      <c r="C39" s="7" t="str">
        <f>INDEX(Настройки!$A$10:$A$16,7)</f>
        <v>Ми-П</v>
      </c>
      <c r="D39" s="7">
        <f>Широкая_таблица!$AT$10</f>
        <v>24</v>
      </c>
      <c r="E39" s="7">
        <f>Широкая_таблица!$AU$10</f>
        <v>0</v>
      </c>
      <c r="F39" s="7">
        <f>Широкая_таблица!$AV$10</f>
        <v>0</v>
      </c>
      <c r="G39" s="7">
        <f>Широкая_таблица!$AW$10+Широкая_таблица!$AX$10</f>
        <v>0</v>
      </c>
      <c r="H39" s="7">
        <f>Широкая_таблица!$AY$10</f>
        <v>1</v>
      </c>
      <c r="I39" s="7">
        <f>Широкая_таблица!$AZ$10</f>
        <v>23</v>
      </c>
    </row>
    <row r="40" spans="1:9" x14ac:dyDescent="0.3">
      <c r="A40" s="3">
        <f>Широкая_таблица!$A$11</f>
        <v>46277</v>
      </c>
      <c r="B40" s="4" t="str">
        <f>Широкая_таблица!$C$11</f>
        <v>Завалишин Д.Л.</v>
      </c>
      <c r="C40" s="4" t="str">
        <f>INDEX(Настройки!$A$10:$A$16,1)</f>
        <v>АК-10</v>
      </c>
      <c r="D40" s="4">
        <f>Широкая_таблица!$D$11</f>
        <v>25</v>
      </c>
      <c r="E40" s="4">
        <f>Широкая_таблица!$E$11</f>
        <v>0</v>
      </c>
      <c r="F40" s="4">
        <f>Широкая_таблица!$F$11</f>
        <v>0</v>
      </c>
      <c r="G40" s="4">
        <f>Широкая_таблица!$G$11+Широкая_таблица!$H$11</f>
        <v>0</v>
      </c>
      <c r="H40" s="4">
        <f>Широкая_таблица!$I$11</f>
        <v>1</v>
      </c>
      <c r="I40" s="4">
        <f>Широкая_таблица!$J$11</f>
        <v>24</v>
      </c>
    </row>
    <row r="41" spans="1:9" x14ac:dyDescent="0.3">
      <c r="A41" s="6">
        <f>Широкая_таблица!$A$11</f>
        <v>46277</v>
      </c>
      <c r="B41" s="7" t="str">
        <f>Широкая_таблица!$C$11</f>
        <v>Завалишин Д.Л.</v>
      </c>
      <c r="C41" s="7" t="str">
        <f>INDEX(Настройки!$A$10:$A$16,2)</f>
        <v>АК-15</v>
      </c>
      <c r="D41" s="7">
        <f>Широкая_таблица!$K$11</f>
        <v>44</v>
      </c>
      <c r="E41" s="7">
        <f>Широкая_таблица!$L$11</f>
        <v>0</v>
      </c>
      <c r="F41" s="7">
        <f>Широкая_таблица!$M$11</f>
        <v>0</v>
      </c>
      <c r="G41" s="7">
        <f>Широкая_таблица!$N$11+Широкая_таблица!$O$11</f>
        <v>0</v>
      </c>
      <c r="H41" s="7">
        <f>Широкая_таблица!$P$11</f>
        <v>2</v>
      </c>
      <c r="I41" s="7">
        <f>Широкая_таблица!$Q$11</f>
        <v>42</v>
      </c>
    </row>
    <row r="42" spans="1:9" x14ac:dyDescent="0.3">
      <c r="A42" s="3">
        <f>Широкая_таблица!$A$11</f>
        <v>46277</v>
      </c>
      <c r="B42" s="4" t="str">
        <f>Широкая_таблица!$C$11</f>
        <v>Завалишин Д.Л.</v>
      </c>
      <c r="C42" s="4" t="str">
        <f>INDEX(Настройки!$A$10:$A$16,3)</f>
        <v>Г 3500</v>
      </c>
      <c r="D42" s="4">
        <f>Широкая_таблица!$R$11</f>
        <v>4</v>
      </c>
      <c r="E42" s="4">
        <f>Широкая_таблица!$S$11</f>
        <v>0</v>
      </c>
      <c r="F42" s="4">
        <f>Широкая_таблица!$T$11</f>
        <v>0</v>
      </c>
      <c r="G42" s="4">
        <f>Широкая_таблица!$U$11+Широкая_таблица!$V$11</f>
        <v>0</v>
      </c>
      <c r="H42" s="4">
        <f>Широкая_таблица!$W$11</f>
        <v>1</v>
      </c>
      <c r="I42" s="4">
        <f>Широкая_таблица!$X$11</f>
        <v>3</v>
      </c>
    </row>
    <row r="43" spans="1:9" x14ac:dyDescent="0.3">
      <c r="A43" s="6">
        <f>Широкая_таблица!$A$11</f>
        <v>46277</v>
      </c>
      <c r="B43" s="7" t="str">
        <f>Широкая_таблица!$C$11</f>
        <v>Завалишин Д.Л.</v>
      </c>
      <c r="C43" s="7" t="str">
        <f>INDEX(Настройки!$A$10:$A$16,4)</f>
        <v>Г 1800</v>
      </c>
      <c r="D43" s="7">
        <f>Широкая_таблица!$Y$11</f>
        <v>132</v>
      </c>
      <c r="E43" s="7">
        <f>Широкая_таблица!$Z$11</f>
        <v>0</v>
      </c>
      <c r="F43" s="7">
        <f>Широкая_таблица!$AA$11</f>
        <v>0</v>
      </c>
      <c r="G43" s="7">
        <f>Широкая_таблица!$AB$11+Широкая_таблица!$AC$11</f>
        <v>0</v>
      </c>
      <c r="H43" s="7">
        <f>Широкая_таблица!$AD$11</f>
        <v>5</v>
      </c>
      <c r="I43" s="7">
        <f>Широкая_таблица!$AE$11</f>
        <v>127</v>
      </c>
    </row>
    <row r="44" spans="1:9" x14ac:dyDescent="0.3">
      <c r="A44" s="3">
        <f>Широкая_таблица!$A$11</f>
        <v>46277</v>
      </c>
      <c r="B44" s="4" t="str">
        <f>Широкая_таблица!$C$11</f>
        <v>Завалишин Д.Л.</v>
      </c>
      <c r="C44" s="4" t="str">
        <f>INDEX(Настройки!$A$10:$A$16,5)</f>
        <v>Г 800</v>
      </c>
      <c r="D44" s="4">
        <f>Широкая_таблица!$AF$11</f>
        <v>82</v>
      </c>
      <c r="E44" s="4">
        <f>Широкая_таблица!$AG$11</f>
        <v>0</v>
      </c>
      <c r="F44" s="4">
        <f>Широкая_таблица!$AH$11</f>
        <v>0</v>
      </c>
      <c r="G44" s="4">
        <f>Широкая_таблица!$AI$11+Широкая_таблица!$AJ$11</f>
        <v>0</v>
      </c>
      <c r="H44" s="4">
        <f>Широкая_таблица!$AK$11</f>
        <v>8</v>
      </c>
      <c r="I44" s="4">
        <f>Широкая_таблица!$AL$11</f>
        <v>74</v>
      </c>
    </row>
    <row r="45" spans="1:9" x14ac:dyDescent="0.3">
      <c r="A45" s="6">
        <f>Широкая_таблица!$A$11</f>
        <v>46277</v>
      </c>
      <c r="B45" s="7" t="str">
        <f>Широкая_таблица!$C$11</f>
        <v>Завалишин Д.Л.</v>
      </c>
      <c r="C45" s="7" t="str">
        <f>INDEX(Настройки!$A$10:$A$16,6)</f>
        <v>Ми-К</v>
      </c>
      <c r="D45" s="7">
        <f>Широкая_таблица!$AM$11</f>
        <v>7</v>
      </c>
      <c r="E45" s="7">
        <f>Широкая_таблица!$AN$11</f>
        <v>0</v>
      </c>
      <c r="F45" s="7">
        <f>Широкая_таблица!$AO$11</f>
        <v>0</v>
      </c>
      <c r="G45" s="7">
        <f>Широкая_таблица!$AP$11+Широкая_таблица!$AQ$11</f>
        <v>0</v>
      </c>
      <c r="H45" s="7">
        <f>Широкая_таблица!$AR$11</f>
        <v>4</v>
      </c>
      <c r="I45" s="7">
        <f>Широкая_таблица!$AS$11</f>
        <v>3</v>
      </c>
    </row>
    <row r="46" spans="1:9" x14ac:dyDescent="0.3">
      <c r="A46" s="3">
        <f>Широкая_таблица!$A$11</f>
        <v>46277</v>
      </c>
      <c r="B46" s="4" t="str">
        <f>Широкая_таблица!$C$11</f>
        <v>Завалишин Д.Л.</v>
      </c>
      <c r="C46" s="4" t="str">
        <f>INDEX(Настройки!$A$10:$A$16,7)</f>
        <v>Ми-П</v>
      </c>
      <c r="D46" s="4">
        <f>Широкая_таблица!$AT$11</f>
        <v>23</v>
      </c>
      <c r="E46" s="4">
        <f>Широкая_таблица!$AU$11</f>
        <v>0</v>
      </c>
      <c r="F46" s="4">
        <f>Широкая_таблица!$AV$11</f>
        <v>0</v>
      </c>
      <c r="G46" s="4">
        <f>Широкая_таблица!$AW$11+Широкая_таблица!$AX$11</f>
        <v>0</v>
      </c>
      <c r="H46" s="4">
        <f>Широкая_таблица!$AY$11</f>
        <v>1</v>
      </c>
      <c r="I46" s="4">
        <f>Широкая_таблица!$AZ$11</f>
        <v>22</v>
      </c>
    </row>
    <row r="47" spans="1:9" x14ac:dyDescent="0.3">
      <c r="A47" s="6">
        <f>Широкая_таблица!$A$12</f>
        <v>46278</v>
      </c>
      <c r="B47" s="7" t="str">
        <f>Широкая_таблица!$C$12</f>
        <v>Завалишин Д.Л.</v>
      </c>
      <c r="C47" s="7" t="str">
        <f>INDEX(Настройки!$A$10:$A$16,1)</f>
        <v>АК-10</v>
      </c>
      <c r="D47" s="7">
        <f>Широкая_таблица!$D$12</f>
        <v>24</v>
      </c>
      <c r="E47" s="7">
        <f>Широкая_таблица!$E$12</f>
        <v>0</v>
      </c>
      <c r="F47" s="7">
        <f>Широкая_таблица!$F$12</f>
        <v>0</v>
      </c>
      <c r="G47" s="7">
        <f>Широкая_таблица!$G$12+Широкая_таблица!$H$12</f>
        <v>0</v>
      </c>
      <c r="H47" s="7">
        <f>Широкая_таблица!$I$12</f>
        <v>4</v>
      </c>
      <c r="I47" s="7">
        <f>Широкая_таблица!$J$12</f>
        <v>20</v>
      </c>
    </row>
    <row r="48" spans="1:9" x14ac:dyDescent="0.3">
      <c r="A48" s="3">
        <f>Широкая_таблица!$A$12</f>
        <v>46278</v>
      </c>
      <c r="B48" s="4" t="str">
        <f>Широкая_таблица!$C$12</f>
        <v>Завалишин Д.Л.</v>
      </c>
      <c r="C48" s="4" t="str">
        <f>INDEX(Настройки!$A$10:$A$16,2)</f>
        <v>АК-15</v>
      </c>
      <c r="D48" s="4">
        <f>Широкая_таблица!$K$12</f>
        <v>42</v>
      </c>
      <c r="E48" s="4">
        <f>Широкая_таблица!$L$12</f>
        <v>0</v>
      </c>
      <c r="F48" s="4">
        <f>Широкая_таблица!$M$12</f>
        <v>0</v>
      </c>
      <c r="G48" s="4">
        <f>Широкая_таблица!$N$12+Широкая_таблица!$O$12</f>
        <v>0</v>
      </c>
      <c r="H48" s="4">
        <f>Широкая_таблица!$P$12</f>
        <v>2</v>
      </c>
      <c r="I48" s="4">
        <f>Широкая_таблица!$Q$12</f>
        <v>40</v>
      </c>
    </row>
    <row r="49" spans="1:9" x14ac:dyDescent="0.3">
      <c r="A49" s="6">
        <f>Широкая_таблица!$A$12</f>
        <v>46278</v>
      </c>
      <c r="B49" s="7" t="str">
        <f>Широкая_таблица!$C$12</f>
        <v>Завалишин Д.Л.</v>
      </c>
      <c r="C49" s="7" t="str">
        <f>INDEX(Настройки!$A$10:$A$16,3)</f>
        <v>Г 3500</v>
      </c>
      <c r="D49" s="7">
        <f>Широкая_таблица!$R$12</f>
        <v>3</v>
      </c>
      <c r="E49" s="7">
        <f>Широкая_таблица!$S$12</f>
        <v>2</v>
      </c>
      <c r="F49" s="7">
        <f>Широкая_таблица!$T$12</f>
        <v>0</v>
      </c>
      <c r="G49" s="7">
        <f>Широкая_таблица!$U$12+Широкая_таблица!$V$12</f>
        <v>0</v>
      </c>
      <c r="H49" s="7">
        <f>Широкая_таблица!$W$12</f>
        <v>2</v>
      </c>
      <c r="I49" s="7">
        <f>Широкая_таблица!$X$12</f>
        <v>3</v>
      </c>
    </row>
    <row r="50" spans="1:9" x14ac:dyDescent="0.3">
      <c r="A50" s="3">
        <f>Широкая_таблица!$A$12</f>
        <v>46278</v>
      </c>
      <c r="B50" s="4" t="str">
        <f>Широкая_таблица!$C$12</f>
        <v>Завалишин Д.Л.</v>
      </c>
      <c r="C50" s="4" t="str">
        <f>INDEX(Настройки!$A$10:$A$16,4)</f>
        <v>Г 1800</v>
      </c>
      <c r="D50" s="4">
        <f>Широкая_таблица!$Y$12</f>
        <v>127</v>
      </c>
      <c r="E50" s="4">
        <f>Широкая_таблица!$Z$12</f>
        <v>0</v>
      </c>
      <c r="F50" s="4">
        <f>Широкая_таблица!$AA$12</f>
        <v>0</v>
      </c>
      <c r="G50" s="4">
        <f>Широкая_таблица!$AB$12+Широкая_таблица!$AC$12</f>
        <v>0</v>
      </c>
      <c r="H50" s="4">
        <f>Широкая_таблица!$AD$12</f>
        <v>2</v>
      </c>
      <c r="I50" s="4">
        <f>Широкая_таблица!$AE$12</f>
        <v>125</v>
      </c>
    </row>
    <row r="51" spans="1:9" x14ac:dyDescent="0.3">
      <c r="A51" s="6">
        <f>Широкая_таблица!$A$12</f>
        <v>46278</v>
      </c>
      <c r="B51" s="7" t="str">
        <f>Широкая_таблица!$C$12</f>
        <v>Завалишин Д.Л.</v>
      </c>
      <c r="C51" s="7" t="str">
        <f>INDEX(Настройки!$A$10:$A$16,5)</f>
        <v>Г 800</v>
      </c>
      <c r="D51" s="7">
        <f>Широкая_таблица!$AF$12</f>
        <v>74</v>
      </c>
      <c r="E51" s="7">
        <f>Широкая_таблица!$AG$12</f>
        <v>0</v>
      </c>
      <c r="F51" s="7">
        <f>Широкая_таблица!$AH$12</f>
        <v>0</v>
      </c>
      <c r="G51" s="7">
        <f>Широкая_таблица!$AI$12+Широкая_таблица!$AJ$12</f>
        <v>0</v>
      </c>
      <c r="H51" s="7">
        <f>Широкая_таблица!$AK$12</f>
        <v>4</v>
      </c>
      <c r="I51" s="7">
        <f>Широкая_таблица!$AL$12</f>
        <v>70</v>
      </c>
    </row>
    <row r="52" spans="1:9" x14ac:dyDescent="0.3">
      <c r="A52" s="3">
        <f>Широкая_таблица!$A$12</f>
        <v>46278</v>
      </c>
      <c r="B52" s="4" t="str">
        <f>Широкая_таблица!$C$12</f>
        <v>Завалишин Д.Л.</v>
      </c>
      <c r="C52" s="4" t="str">
        <f>INDEX(Настройки!$A$10:$A$16,6)</f>
        <v>Ми-К</v>
      </c>
      <c r="D52" s="4">
        <f>Широкая_таблица!$AM$12</f>
        <v>3</v>
      </c>
      <c r="E52" s="4">
        <f>Широкая_таблица!$AN$12</f>
        <v>0</v>
      </c>
      <c r="F52" s="4">
        <f>Широкая_таблица!$AO$12</f>
        <v>0</v>
      </c>
      <c r="G52" s="4">
        <f>Широкая_таблица!$AP$12+Широкая_таблица!$AQ$12</f>
        <v>0</v>
      </c>
      <c r="H52" s="4">
        <f>Широкая_таблица!$AR$12</f>
        <v>0</v>
      </c>
      <c r="I52" s="4">
        <f>Широкая_таблица!$AS$12</f>
        <v>3</v>
      </c>
    </row>
    <row r="53" spans="1:9" x14ac:dyDescent="0.3">
      <c r="A53" s="6">
        <f>Широкая_таблица!$A$12</f>
        <v>46278</v>
      </c>
      <c r="B53" s="7" t="str">
        <f>Широкая_таблица!$C$12</f>
        <v>Завалишин Д.Л.</v>
      </c>
      <c r="C53" s="7" t="str">
        <f>INDEX(Настройки!$A$10:$A$16,7)</f>
        <v>Ми-П</v>
      </c>
      <c r="D53" s="7">
        <f>Широкая_таблица!$AT$12</f>
        <v>22</v>
      </c>
      <c r="E53" s="7">
        <f>Широкая_таблица!$AU$12</f>
        <v>0</v>
      </c>
      <c r="F53" s="7">
        <f>Широкая_таблица!$AV$12</f>
        <v>0</v>
      </c>
      <c r="G53" s="7">
        <f>Широкая_таблица!$AW$12+Широкая_таблица!$AX$12</f>
        <v>0</v>
      </c>
      <c r="H53" s="7">
        <f>Широкая_таблица!$AY$12</f>
        <v>0</v>
      </c>
      <c r="I53" s="7">
        <f>Широкая_таблица!$AZ$12</f>
        <v>22</v>
      </c>
    </row>
    <row r="54" spans="1:9" x14ac:dyDescent="0.3">
      <c r="A54" s="3">
        <f>Широкая_таблица!$A$13</f>
        <v>46279</v>
      </c>
      <c r="B54" s="4" t="str">
        <f>Широкая_таблица!$C$13</f>
        <v>Пузанов Д.В.</v>
      </c>
      <c r="C54" s="4" t="str">
        <f>INDEX(Настройки!$A$10:$A$16,1)</f>
        <v>АК-10</v>
      </c>
      <c r="D54" s="4">
        <f>Широкая_таблица!$D$13</f>
        <v>20</v>
      </c>
      <c r="E54" s="4">
        <f>Широкая_таблица!$E$13</f>
        <v>15</v>
      </c>
      <c r="F54" s="4">
        <f>Широкая_таблица!$F$13</f>
        <v>0</v>
      </c>
      <c r="G54" s="4">
        <f>Широкая_таблица!$G$13+Широкая_таблица!$H$13</f>
        <v>0</v>
      </c>
      <c r="H54" s="4">
        <f>Широкая_таблица!$I$13</f>
        <v>2</v>
      </c>
      <c r="I54" s="4">
        <f>Широкая_таблица!$J$13</f>
        <v>33</v>
      </c>
    </row>
    <row r="55" spans="1:9" x14ac:dyDescent="0.3">
      <c r="A55" s="6">
        <f>Широкая_таблица!$A$13</f>
        <v>46279</v>
      </c>
      <c r="B55" s="7" t="str">
        <f>Широкая_таблица!$C$13</f>
        <v>Пузанов Д.В.</v>
      </c>
      <c r="C55" s="7" t="str">
        <f>INDEX(Настройки!$A$10:$A$16,2)</f>
        <v>АК-15</v>
      </c>
      <c r="D55" s="7">
        <f>Широкая_таблица!$K$13</f>
        <v>40</v>
      </c>
      <c r="E55" s="7">
        <f>Широкая_таблица!$L$13</f>
        <v>0</v>
      </c>
      <c r="F55" s="7">
        <f>Широкая_таблица!$M$13</f>
        <v>0</v>
      </c>
      <c r="G55" s="7">
        <f>Широкая_таблица!$N$13+Широкая_таблица!$O$13</f>
        <v>0</v>
      </c>
      <c r="H55" s="7">
        <f>Широкая_таблица!$P$13</f>
        <v>2</v>
      </c>
      <c r="I55" s="7">
        <f>Широкая_таблица!$Q$13</f>
        <v>38</v>
      </c>
    </row>
    <row r="56" spans="1:9" x14ac:dyDescent="0.3">
      <c r="A56" s="3">
        <f>Широкая_таблица!$A$13</f>
        <v>46279</v>
      </c>
      <c r="B56" s="4" t="str">
        <f>Широкая_таблица!$C$13</f>
        <v>Пузанов Д.В.</v>
      </c>
      <c r="C56" s="4" t="str">
        <f>INDEX(Настройки!$A$10:$A$16,3)</f>
        <v>Г 3500</v>
      </c>
      <c r="D56" s="4">
        <f>Широкая_таблица!$R$13</f>
        <v>3</v>
      </c>
      <c r="E56" s="4">
        <f>Широкая_таблица!$S$13</f>
        <v>14</v>
      </c>
      <c r="F56" s="4">
        <f>Широкая_таблица!$T$13</f>
        <v>0</v>
      </c>
      <c r="G56" s="4">
        <f>Широкая_таблица!$U$13+Широкая_таблица!$V$13</f>
        <v>0</v>
      </c>
      <c r="H56" s="4">
        <f>Широкая_таблица!$W$13</f>
        <v>0</v>
      </c>
      <c r="I56" s="4">
        <f>Широкая_таблица!$X$13</f>
        <v>17</v>
      </c>
    </row>
    <row r="57" spans="1:9" x14ac:dyDescent="0.3">
      <c r="A57" s="6">
        <f>Широкая_таблица!$A$13</f>
        <v>46279</v>
      </c>
      <c r="B57" s="7" t="str">
        <f>Широкая_таблица!$C$13</f>
        <v>Пузанов Д.В.</v>
      </c>
      <c r="C57" s="7" t="str">
        <f>INDEX(Настройки!$A$10:$A$16,4)</f>
        <v>Г 1800</v>
      </c>
      <c r="D57" s="7">
        <f>Широкая_таблица!$Y$13</f>
        <v>125</v>
      </c>
      <c r="E57" s="7">
        <f>Широкая_таблица!$Z$13</f>
        <v>0</v>
      </c>
      <c r="F57" s="7">
        <f>Широкая_таблица!$AA$13</f>
        <v>0</v>
      </c>
      <c r="G57" s="7">
        <f>Широкая_таблица!$AB$13+Широкая_таблица!$AC$13</f>
        <v>0</v>
      </c>
      <c r="H57" s="7">
        <f>Широкая_таблица!$AD$13</f>
        <v>8</v>
      </c>
      <c r="I57" s="7">
        <f>Широкая_таблица!$AE$13</f>
        <v>117</v>
      </c>
    </row>
    <row r="58" spans="1:9" x14ac:dyDescent="0.3">
      <c r="A58" s="3">
        <f>Широкая_таблица!$A$13</f>
        <v>46279</v>
      </c>
      <c r="B58" s="4" t="str">
        <f>Широкая_таблица!$C$13</f>
        <v>Пузанов Д.В.</v>
      </c>
      <c r="C58" s="4" t="str">
        <f>INDEX(Настройки!$A$10:$A$16,5)</f>
        <v>Г 800</v>
      </c>
      <c r="D58" s="4">
        <f>Широкая_таблица!$AF$13</f>
        <v>70</v>
      </c>
      <c r="E58" s="4">
        <f>Широкая_таблица!$AG$13</f>
        <v>0</v>
      </c>
      <c r="F58" s="4">
        <f>Широкая_таблица!$AH$13</f>
        <v>0</v>
      </c>
      <c r="G58" s="4">
        <f>Широкая_таблица!$AI$13+Широкая_таблица!$AJ$13</f>
        <v>0</v>
      </c>
      <c r="H58" s="4">
        <f>Широкая_таблица!$AK$13</f>
        <v>9</v>
      </c>
      <c r="I58" s="4">
        <f>Широкая_таблица!$AL$13</f>
        <v>61</v>
      </c>
    </row>
    <row r="59" spans="1:9" x14ac:dyDescent="0.3">
      <c r="A59" s="6">
        <f>Широкая_таблица!$A$13</f>
        <v>46279</v>
      </c>
      <c r="B59" s="7" t="str">
        <f>Широкая_таблица!$C$13</f>
        <v>Пузанов Д.В.</v>
      </c>
      <c r="C59" s="7" t="str">
        <f>INDEX(Настройки!$A$10:$A$16,6)</f>
        <v>Ми-К</v>
      </c>
      <c r="D59" s="7">
        <f>Широкая_таблица!$AM$13</f>
        <v>3</v>
      </c>
      <c r="E59" s="7">
        <f>Широкая_таблица!$AN$13</f>
        <v>0</v>
      </c>
      <c r="F59" s="7">
        <f>Широкая_таблица!$AO$13</f>
        <v>1</v>
      </c>
      <c r="G59" s="7">
        <f>Широкая_таблица!$AP$13+Широкая_таблица!$AQ$13</f>
        <v>0</v>
      </c>
      <c r="H59" s="7">
        <f>Широкая_таблица!$AR$13</f>
        <v>4</v>
      </c>
      <c r="I59" s="7">
        <f>Широкая_таблица!$AS$13</f>
        <v>0</v>
      </c>
    </row>
    <row r="60" spans="1:9" x14ac:dyDescent="0.3">
      <c r="A60" s="3">
        <f>Широкая_таблица!$A$13</f>
        <v>46279</v>
      </c>
      <c r="B60" s="4" t="str">
        <f>Широкая_таблица!$C$13</f>
        <v>Пузанов Д.В.</v>
      </c>
      <c r="C60" s="4" t="str">
        <f>INDEX(Настройки!$A$10:$A$16,7)</f>
        <v>Ми-П</v>
      </c>
      <c r="D60" s="4">
        <f>Широкая_таблица!$AT$13</f>
        <v>22</v>
      </c>
      <c r="E60" s="4">
        <f>Широкая_таблица!$AU$13</f>
        <v>0</v>
      </c>
      <c r="F60" s="4">
        <f>Широкая_таблица!$AV$13</f>
        <v>0</v>
      </c>
      <c r="G60" s="4">
        <f>Широкая_таблица!$AW$13+Широкая_таблица!$AX$13</f>
        <v>0</v>
      </c>
      <c r="H60" s="4">
        <f>Широкая_таблица!$AY$13</f>
        <v>1</v>
      </c>
      <c r="I60" s="4">
        <f>Широкая_таблица!$AZ$13</f>
        <v>21</v>
      </c>
    </row>
    <row r="61" spans="1:9" x14ac:dyDescent="0.3">
      <c r="A61" s="6">
        <f>Широкая_таблица!$A$14</f>
        <v>46280</v>
      </c>
      <c r="B61" s="7" t="str">
        <f>Широкая_таблица!$C$14</f>
        <v>Завалишин Д.Л.</v>
      </c>
      <c r="C61" s="7" t="str">
        <f>INDEX(Настройки!$A$10:$A$16,1)</f>
        <v>АК-10</v>
      </c>
      <c r="D61" s="7">
        <f>Широкая_таблица!$D$14</f>
        <v>33</v>
      </c>
      <c r="E61" s="7">
        <f>Широкая_таблица!$E$14</f>
        <v>0</v>
      </c>
      <c r="F61" s="7">
        <f>Широкая_таблица!$F$14</f>
        <v>0</v>
      </c>
      <c r="G61" s="7">
        <f>Широкая_таблица!$G$14+Широкая_таблица!$H$14</f>
        <v>0</v>
      </c>
      <c r="H61" s="7">
        <f>Широкая_таблица!$I$14</f>
        <v>0</v>
      </c>
      <c r="I61" s="7">
        <f>Широкая_таблица!$J$14</f>
        <v>33</v>
      </c>
    </row>
    <row r="62" spans="1:9" x14ac:dyDescent="0.3">
      <c r="A62" s="3">
        <f>Широкая_таблица!$A$14</f>
        <v>46280</v>
      </c>
      <c r="B62" s="4" t="str">
        <f>Широкая_таблица!$C$14</f>
        <v>Завалишин Д.Л.</v>
      </c>
      <c r="C62" s="4" t="str">
        <f>INDEX(Настройки!$A$10:$A$16,2)</f>
        <v>АК-15</v>
      </c>
      <c r="D62" s="4">
        <f>Широкая_таблица!$K$14</f>
        <v>38</v>
      </c>
      <c r="E62" s="4">
        <f>Широкая_таблица!$L$14</f>
        <v>0</v>
      </c>
      <c r="F62" s="4">
        <f>Широкая_таблица!$M$14</f>
        <v>0</v>
      </c>
      <c r="G62" s="4">
        <f>Широкая_таблица!$N$14+Широкая_таблица!$O$14</f>
        <v>0</v>
      </c>
      <c r="H62" s="4">
        <f>Широкая_таблица!$P$14</f>
        <v>1</v>
      </c>
      <c r="I62" s="4">
        <f>Широкая_таблица!$Q$14</f>
        <v>37</v>
      </c>
    </row>
    <row r="63" spans="1:9" x14ac:dyDescent="0.3">
      <c r="A63" s="6">
        <f>Широкая_таблица!$A$14</f>
        <v>46280</v>
      </c>
      <c r="B63" s="7" t="str">
        <f>Широкая_таблица!$C$14</f>
        <v>Завалишин Д.Л.</v>
      </c>
      <c r="C63" s="7" t="str">
        <f>INDEX(Настройки!$A$10:$A$16,3)</f>
        <v>Г 3500</v>
      </c>
      <c r="D63" s="7">
        <f>Широкая_таблица!$R$14</f>
        <v>17</v>
      </c>
      <c r="E63" s="7">
        <f>Широкая_таблица!$S$14</f>
        <v>0</v>
      </c>
      <c r="F63" s="7">
        <f>Широкая_таблица!$T$14</f>
        <v>0</v>
      </c>
      <c r="G63" s="7">
        <f>Широкая_таблица!$U$14+Широкая_таблица!$V$14</f>
        <v>0</v>
      </c>
      <c r="H63" s="7">
        <f>Широкая_таблица!$W$14</f>
        <v>1</v>
      </c>
      <c r="I63" s="7">
        <f>Широкая_таблица!$X$14</f>
        <v>16</v>
      </c>
    </row>
    <row r="64" spans="1:9" x14ac:dyDescent="0.3">
      <c r="A64" s="3">
        <f>Широкая_таблица!$A$14</f>
        <v>46280</v>
      </c>
      <c r="B64" s="4" t="str">
        <f>Широкая_таблица!$C$14</f>
        <v>Завалишин Д.Л.</v>
      </c>
      <c r="C64" s="4" t="str">
        <f>INDEX(Настройки!$A$10:$A$16,4)</f>
        <v>Г 1800</v>
      </c>
      <c r="D64" s="4">
        <f>Широкая_таблица!$Y$14</f>
        <v>117</v>
      </c>
      <c r="E64" s="4">
        <f>Широкая_таблица!$Z$14</f>
        <v>0</v>
      </c>
      <c r="F64" s="4">
        <f>Широкая_таблица!$AA$14</f>
        <v>0</v>
      </c>
      <c r="G64" s="4">
        <f>Широкая_таблица!$AB$14+Широкая_таблица!$AC$14</f>
        <v>0</v>
      </c>
      <c r="H64" s="4">
        <f>Широкая_таблица!$AD$14</f>
        <v>11</v>
      </c>
      <c r="I64" s="4">
        <f>Широкая_таблица!$AE$14</f>
        <v>106</v>
      </c>
    </row>
    <row r="65" spans="1:9" x14ac:dyDescent="0.3">
      <c r="A65" s="6">
        <f>Широкая_таблица!$A$14</f>
        <v>46280</v>
      </c>
      <c r="B65" s="7" t="str">
        <f>Широкая_таблица!$C$14</f>
        <v>Завалишин Д.Л.</v>
      </c>
      <c r="C65" s="7" t="str">
        <f>INDEX(Настройки!$A$10:$A$16,5)</f>
        <v>Г 800</v>
      </c>
      <c r="D65" s="7">
        <f>Широкая_таблица!$AF$14</f>
        <v>61</v>
      </c>
      <c r="E65" s="7">
        <f>Широкая_таблица!$AG$14</f>
        <v>0</v>
      </c>
      <c r="F65" s="7">
        <f>Широкая_таблица!$AH$14</f>
        <v>0</v>
      </c>
      <c r="G65" s="7">
        <f>Широкая_таблица!$AI$14+Широкая_таблица!$AJ$14</f>
        <v>0</v>
      </c>
      <c r="H65" s="7">
        <f>Широкая_таблица!$AK$14</f>
        <v>7</v>
      </c>
      <c r="I65" s="7">
        <f>Широкая_таблица!$AL$14</f>
        <v>54</v>
      </c>
    </row>
    <row r="66" spans="1:9" x14ac:dyDescent="0.3">
      <c r="A66" s="3">
        <f>Широкая_таблица!$A$14</f>
        <v>46280</v>
      </c>
      <c r="B66" s="4" t="str">
        <f>Широкая_таблица!$C$14</f>
        <v>Завалишин Д.Л.</v>
      </c>
      <c r="C66" s="4" t="str">
        <f>INDEX(Настройки!$A$10:$A$16,6)</f>
        <v>Ми-К</v>
      </c>
      <c r="D66" s="4">
        <f>Широкая_таблица!$AM$14</f>
        <v>0</v>
      </c>
      <c r="E66" s="4">
        <f>Широкая_таблица!$AN$14</f>
        <v>20</v>
      </c>
      <c r="F66" s="4">
        <f>Широкая_таблица!$AO$14</f>
        <v>0</v>
      </c>
      <c r="G66" s="4">
        <f>Широкая_таблица!$AP$14+Широкая_таблица!$AQ$14</f>
        <v>0</v>
      </c>
      <c r="H66" s="4">
        <f>Широкая_таблица!$AR$14</f>
        <v>4</v>
      </c>
      <c r="I66" s="4">
        <f>Широкая_таблица!$AS$14</f>
        <v>16</v>
      </c>
    </row>
    <row r="67" spans="1:9" x14ac:dyDescent="0.3">
      <c r="A67" s="6">
        <f>Широкая_таблица!$A$14</f>
        <v>46280</v>
      </c>
      <c r="B67" s="7" t="str">
        <f>Широкая_таблица!$C$14</f>
        <v>Завалишин Д.Л.</v>
      </c>
      <c r="C67" s="7" t="str">
        <f>INDEX(Настройки!$A$10:$A$16,7)</f>
        <v>Ми-П</v>
      </c>
      <c r="D67" s="7">
        <f>Широкая_таблица!$AT$14</f>
        <v>21</v>
      </c>
      <c r="E67" s="7">
        <f>Широкая_таблица!$AU$14</f>
        <v>0</v>
      </c>
      <c r="F67" s="7">
        <f>Широкая_таблица!$AV$14</f>
        <v>0</v>
      </c>
      <c r="G67" s="7">
        <f>Широкая_таблица!$AW$14+Широкая_таблица!$AX$14</f>
        <v>0</v>
      </c>
      <c r="H67" s="7">
        <f>Широкая_таблица!$AY$14</f>
        <v>1</v>
      </c>
      <c r="I67" s="7">
        <f>Широкая_таблица!$AZ$14</f>
        <v>20</v>
      </c>
    </row>
    <row r="68" spans="1:9" x14ac:dyDescent="0.3">
      <c r="A68" s="3">
        <f>Широкая_таблица!$A$15</f>
        <v>46281</v>
      </c>
      <c r="B68" s="4" t="str">
        <f>Широкая_таблица!$C$15</f>
        <v>Завалишин Д.Л.</v>
      </c>
      <c r="C68" s="4" t="str">
        <f>INDEX(Настройки!$A$10:$A$16,1)</f>
        <v>АК-10</v>
      </c>
      <c r="D68" s="4">
        <f>Широкая_таблица!$D$15</f>
        <v>33</v>
      </c>
      <c r="E68" s="4">
        <f>Широкая_таблица!$E$15</f>
        <v>0</v>
      </c>
      <c r="F68" s="4">
        <f>Широкая_таблица!$F$15</f>
        <v>0</v>
      </c>
      <c r="G68" s="4">
        <f>Широкая_таблица!$G$15+Широкая_таблица!$H$15</f>
        <v>0</v>
      </c>
      <c r="H68" s="4">
        <f>Широкая_таблица!$I$15</f>
        <v>1</v>
      </c>
      <c r="I68" s="4">
        <f>Широкая_таблица!$J$15</f>
        <v>32</v>
      </c>
    </row>
    <row r="69" spans="1:9" x14ac:dyDescent="0.3">
      <c r="A69" s="6">
        <f>Широкая_таблица!$A$15</f>
        <v>46281</v>
      </c>
      <c r="B69" s="7" t="str">
        <f>Широкая_таблица!$C$15</f>
        <v>Завалишин Д.Л.</v>
      </c>
      <c r="C69" s="7" t="str">
        <f>INDEX(Настройки!$A$10:$A$16,2)</f>
        <v>АК-15</v>
      </c>
      <c r="D69" s="7">
        <f>Широкая_таблица!$K$15</f>
        <v>37</v>
      </c>
      <c r="E69" s="7">
        <f>Широкая_таблица!$L$15</f>
        <v>0</v>
      </c>
      <c r="F69" s="7">
        <f>Широкая_таблица!$M$15</f>
        <v>0</v>
      </c>
      <c r="G69" s="7">
        <f>Широкая_таблица!$N$15+Широкая_таблица!$O$15</f>
        <v>0</v>
      </c>
      <c r="H69" s="7">
        <f>Широкая_таблица!$P$15</f>
        <v>3</v>
      </c>
      <c r="I69" s="7">
        <f>Широкая_таблица!$Q$15</f>
        <v>34</v>
      </c>
    </row>
    <row r="70" spans="1:9" x14ac:dyDescent="0.3">
      <c r="A70" s="3">
        <f>Широкая_таблица!$A$15</f>
        <v>46281</v>
      </c>
      <c r="B70" s="4" t="str">
        <f>Широкая_таблица!$C$15</f>
        <v>Завалишин Д.Л.</v>
      </c>
      <c r="C70" s="4" t="str">
        <f>INDEX(Настройки!$A$10:$A$16,3)</f>
        <v>Г 3500</v>
      </c>
      <c r="D70" s="4">
        <f>Широкая_таблица!$R$15</f>
        <v>16</v>
      </c>
      <c r="E70" s="4">
        <f>Широкая_таблица!$S$15</f>
        <v>0</v>
      </c>
      <c r="F70" s="4">
        <f>Широкая_таблица!$T$15</f>
        <v>0</v>
      </c>
      <c r="G70" s="4">
        <f>Широкая_таблица!$U$15+Широкая_таблица!$V$15</f>
        <v>0</v>
      </c>
      <c r="H70" s="4">
        <f>Широкая_таблица!$W$15</f>
        <v>0</v>
      </c>
      <c r="I70" s="4">
        <f>Широкая_таблица!$X$15</f>
        <v>16</v>
      </c>
    </row>
    <row r="71" spans="1:9" x14ac:dyDescent="0.3">
      <c r="A71" s="6">
        <f>Широкая_таблица!$A$15</f>
        <v>46281</v>
      </c>
      <c r="B71" s="7" t="str">
        <f>Широкая_таблица!$C$15</f>
        <v>Завалишин Д.Л.</v>
      </c>
      <c r="C71" s="7" t="str">
        <f>INDEX(Настройки!$A$10:$A$16,4)</f>
        <v>Г 1800</v>
      </c>
      <c r="D71" s="7">
        <f>Широкая_таблица!$Y$15</f>
        <v>106</v>
      </c>
      <c r="E71" s="7">
        <f>Широкая_таблица!$Z$15</f>
        <v>0</v>
      </c>
      <c r="F71" s="7">
        <f>Широкая_таблица!$AA$15</f>
        <v>0</v>
      </c>
      <c r="G71" s="7">
        <f>Широкая_таблица!$AB$15+Широкая_таблица!$AC$15</f>
        <v>0</v>
      </c>
      <c r="H71" s="7">
        <f>Широкая_таблица!$AD$15</f>
        <v>13</v>
      </c>
      <c r="I71" s="7">
        <f>Широкая_таблица!$AE$15</f>
        <v>93</v>
      </c>
    </row>
    <row r="72" spans="1:9" x14ac:dyDescent="0.3">
      <c r="A72" s="3">
        <f>Широкая_таблица!$A$15</f>
        <v>46281</v>
      </c>
      <c r="B72" s="4" t="str">
        <f>Широкая_таблица!$C$15</f>
        <v>Завалишин Д.Л.</v>
      </c>
      <c r="C72" s="4" t="str">
        <f>INDEX(Настройки!$A$10:$A$16,5)</f>
        <v>Г 800</v>
      </c>
      <c r="D72" s="4">
        <f>Широкая_таблица!$AF$15</f>
        <v>54</v>
      </c>
      <c r="E72" s="4">
        <f>Широкая_таблица!$AG$15</f>
        <v>0</v>
      </c>
      <c r="F72" s="4">
        <f>Широкая_таблица!$AH$15</f>
        <v>0</v>
      </c>
      <c r="G72" s="4">
        <f>Широкая_таблица!$AI$15+Широкая_таблица!$AJ$15</f>
        <v>0</v>
      </c>
      <c r="H72" s="4">
        <f>Широкая_таблица!$AK$15</f>
        <v>12</v>
      </c>
      <c r="I72" s="4">
        <f>Широкая_таблица!$AL$15</f>
        <v>42</v>
      </c>
    </row>
    <row r="73" spans="1:9" x14ac:dyDescent="0.3">
      <c r="A73" s="6">
        <f>Широкая_таблица!$A$15</f>
        <v>46281</v>
      </c>
      <c r="B73" s="7" t="str">
        <f>Широкая_таблица!$C$15</f>
        <v>Завалишин Д.Л.</v>
      </c>
      <c r="C73" s="7" t="str">
        <f>INDEX(Настройки!$A$10:$A$16,6)</f>
        <v>Ми-К</v>
      </c>
      <c r="D73" s="7">
        <f>Широкая_таблица!$AM$15</f>
        <v>16</v>
      </c>
      <c r="E73" s="7">
        <f>Широкая_таблица!$AN$15</f>
        <v>0</v>
      </c>
      <c r="F73" s="7">
        <f>Широкая_таблица!$AO$15</f>
        <v>0</v>
      </c>
      <c r="G73" s="7">
        <f>Широкая_таблица!$AP$15+Широкая_таблица!$AQ$15</f>
        <v>0</v>
      </c>
      <c r="H73" s="7">
        <f>Широкая_таблица!$AR$15</f>
        <v>0</v>
      </c>
      <c r="I73" s="7">
        <f>Широкая_таблица!$AS$15</f>
        <v>16</v>
      </c>
    </row>
    <row r="74" spans="1:9" x14ac:dyDescent="0.3">
      <c r="A74" s="3">
        <f>Широкая_таблица!$A$15</f>
        <v>46281</v>
      </c>
      <c r="B74" s="4" t="str">
        <f>Широкая_таблица!$C$15</f>
        <v>Завалишин Д.Л.</v>
      </c>
      <c r="C74" s="4" t="str">
        <f>INDEX(Настройки!$A$10:$A$16,7)</f>
        <v>Ми-П</v>
      </c>
      <c r="D74" s="4">
        <f>Широкая_таблица!$AT$15</f>
        <v>20</v>
      </c>
      <c r="E74" s="4">
        <f>Широкая_таблица!$AU$15</f>
        <v>0</v>
      </c>
      <c r="F74" s="4">
        <f>Широкая_таблица!$AV$15</f>
        <v>0</v>
      </c>
      <c r="G74" s="4">
        <f>Широкая_таблица!$AW$15+Широкая_таблица!$AX$15</f>
        <v>0</v>
      </c>
      <c r="H74" s="4">
        <f>Широкая_таблица!$AY$15</f>
        <v>1</v>
      </c>
      <c r="I74" s="4">
        <f>Широкая_таблица!$AZ$15</f>
        <v>19</v>
      </c>
    </row>
    <row r="75" spans="1:9" x14ac:dyDescent="0.3">
      <c r="A75" s="6">
        <f>Широкая_таблица!$A$16</f>
        <v>46282</v>
      </c>
      <c r="B75" s="7" t="str">
        <f>Широкая_таблица!$C$16</f>
        <v>Завалишин Д.Л.</v>
      </c>
      <c r="C75" s="7" t="str">
        <f>INDEX(Настройки!$A$10:$A$16,1)</f>
        <v>АК-10</v>
      </c>
      <c r="D75" s="7">
        <f>Широкая_таблица!$D$16</f>
        <v>32</v>
      </c>
      <c r="E75" s="7">
        <f>Широкая_таблица!$E$16</f>
        <v>0</v>
      </c>
      <c r="F75" s="7">
        <f>Широкая_таблица!$F$16</f>
        <v>0</v>
      </c>
      <c r="G75" s="7">
        <f>Широкая_таблица!$G$16+Широкая_таблица!$H$16</f>
        <v>0</v>
      </c>
      <c r="H75" s="7">
        <f>Широкая_таблица!$I$16</f>
        <v>1</v>
      </c>
      <c r="I75" s="7">
        <f>Широкая_таблица!$J$16</f>
        <v>31</v>
      </c>
    </row>
    <row r="76" spans="1:9" x14ac:dyDescent="0.3">
      <c r="A76" s="3">
        <f>Широкая_таблица!$A$16</f>
        <v>46282</v>
      </c>
      <c r="B76" s="4" t="str">
        <f>Широкая_таблица!$C$16</f>
        <v>Завалишин Д.Л.</v>
      </c>
      <c r="C76" s="4" t="str">
        <f>INDEX(Настройки!$A$10:$A$16,2)</f>
        <v>АК-15</v>
      </c>
      <c r="D76" s="4">
        <f>Широкая_таблица!$K$16</f>
        <v>34</v>
      </c>
      <c r="E76" s="4">
        <f>Широкая_таблица!$L$16</f>
        <v>0</v>
      </c>
      <c r="F76" s="4">
        <f>Широкая_таблица!$M$16</f>
        <v>0</v>
      </c>
      <c r="G76" s="4">
        <f>Широкая_таблица!$N$16+Широкая_таблица!$O$16</f>
        <v>0</v>
      </c>
      <c r="H76" s="4">
        <f>Широкая_таблица!$P$16</f>
        <v>3</v>
      </c>
      <c r="I76" s="4">
        <f>Широкая_таблица!$Q$16</f>
        <v>31</v>
      </c>
    </row>
    <row r="77" spans="1:9" x14ac:dyDescent="0.3">
      <c r="A77" s="6">
        <f>Широкая_таблица!$A$16</f>
        <v>46282</v>
      </c>
      <c r="B77" s="7" t="str">
        <f>Широкая_таблица!$C$16</f>
        <v>Завалишин Д.Л.</v>
      </c>
      <c r="C77" s="7" t="str">
        <f>INDEX(Настройки!$A$10:$A$16,3)</f>
        <v>Г 3500</v>
      </c>
      <c r="D77" s="7">
        <f>Широкая_таблица!$R$16</f>
        <v>16</v>
      </c>
      <c r="E77" s="7">
        <f>Широкая_таблица!$S$16</f>
        <v>0</v>
      </c>
      <c r="F77" s="7">
        <f>Широкая_таблица!$T$16</f>
        <v>0</v>
      </c>
      <c r="G77" s="7">
        <f>Широкая_таблица!$U$16+Широкая_таблица!$V$16</f>
        <v>0</v>
      </c>
      <c r="H77" s="7">
        <f>Широкая_таблица!$W$16</f>
        <v>0</v>
      </c>
      <c r="I77" s="7">
        <f>Широкая_таблица!$X$16</f>
        <v>16</v>
      </c>
    </row>
    <row r="78" spans="1:9" x14ac:dyDescent="0.3">
      <c r="A78" s="3">
        <f>Широкая_таблица!$A$16</f>
        <v>46282</v>
      </c>
      <c r="B78" s="4" t="str">
        <f>Широкая_таблица!$C$16</f>
        <v>Завалишин Д.Л.</v>
      </c>
      <c r="C78" s="4" t="str">
        <f>INDEX(Настройки!$A$10:$A$16,4)</f>
        <v>Г 1800</v>
      </c>
      <c r="D78" s="4">
        <f>Широкая_таблица!$Y$16</f>
        <v>93</v>
      </c>
      <c r="E78" s="4">
        <f>Широкая_таблица!$Z$16</f>
        <v>0</v>
      </c>
      <c r="F78" s="4">
        <f>Широкая_таблица!$AA$16</f>
        <v>0</v>
      </c>
      <c r="G78" s="4">
        <f>Широкая_таблица!$AB$16+Широкая_таблица!$AC$16</f>
        <v>0</v>
      </c>
      <c r="H78" s="4">
        <f>Широкая_таблица!$AD$16</f>
        <v>13</v>
      </c>
      <c r="I78" s="4">
        <f>Широкая_таблица!$AE$16</f>
        <v>80</v>
      </c>
    </row>
    <row r="79" spans="1:9" x14ac:dyDescent="0.3">
      <c r="A79" s="6">
        <f>Широкая_таблица!$A$16</f>
        <v>46282</v>
      </c>
      <c r="B79" s="7" t="str">
        <f>Широкая_таблица!$C$16</f>
        <v>Завалишин Д.Л.</v>
      </c>
      <c r="C79" s="7" t="str">
        <f>INDEX(Настройки!$A$10:$A$16,5)</f>
        <v>Г 800</v>
      </c>
      <c r="D79" s="7">
        <f>Широкая_таблица!$AF$16</f>
        <v>42</v>
      </c>
      <c r="E79" s="7">
        <f>Широкая_таблица!$AG$16</f>
        <v>0</v>
      </c>
      <c r="F79" s="7">
        <f>Широкая_таблица!$AH$16</f>
        <v>0</v>
      </c>
      <c r="G79" s="7">
        <f>Широкая_таблица!$AI$16+Широкая_таблица!$AJ$16</f>
        <v>0</v>
      </c>
      <c r="H79" s="7">
        <f>Широкая_таблица!$AK$16</f>
        <v>3</v>
      </c>
      <c r="I79" s="7">
        <f>Широкая_таблица!$AL$16</f>
        <v>39</v>
      </c>
    </row>
    <row r="80" spans="1:9" x14ac:dyDescent="0.3">
      <c r="A80" s="3">
        <f>Широкая_таблица!$A$16</f>
        <v>46282</v>
      </c>
      <c r="B80" s="4" t="str">
        <f>Широкая_таблица!$C$16</f>
        <v>Завалишин Д.Л.</v>
      </c>
      <c r="C80" s="4" t="str">
        <f>INDEX(Настройки!$A$10:$A$16,6)</f>
        <v>Ми-К</v>
      </c>
      <c r="D80" s="4">
        <f>Широкая_таблица!$AM$16</f>
        <v>16</v>
      </c>
      <c r="E80" s="4">
        <f>Широкая_таблица!$AN$16</f>
        <v>0</v>
      </c>
      <c r="F80" s="4">
        <f>Широкая_таблица!$AO$16</f>
        <v>0</v>
      </c>
      <c r="G80" s="4">
        <f>Широкая_таблица!$AP$16+Широкая_таблица!$AQ$16</f>
        <v>0</v>
      </c>
      <c r="H80" s="4">
        <f>Широкая_таблица!$AR$16</f>
        <v>1</v>
      </c>
      <c r="I80" s="4">
        <f>Широкая_таблица!$AS$16</f>
        <v>15</v>
      </c>
    </row>
    <row r="81" spans="1:9" x14ac:dyDescent="0.3">
      <c r="A81" s="6">
        <f>Широкая_таблица!$A$16</f>
        <v>46282</v>
      </c>
      <c r="B81" s="7" t="str">
        <f>Широкая_таблица!$C$16</f>
        <v>Завалишин Д.Л.</v>
      </c>
      <c r="C81" s="7" t="str">
        <f>INDEX(Настройки!$A$10:$A$16,7)</f>
        <v>Ми-П</v>
      </c>
      <c r="D81" s="7">
        <f>Широкая_таблица!$AT$16</f>
        <v>19</v>
      </c>
      <c r="E81" s="7">
        <f>Широкая_таблица!$AU$16</f>
        <v>0</v>
      </c>
      <c r="F81" s="7">
        <f>Широкая_таблица!$AV$16</f>
        <v>0</v>
      </c>
      <c r="G81" s="7">
        <f>Широкая_таблица!$AW$16+Широкая_таблица!$AX$16</f>
        <v>0</v>
      </c>
      <c r="H81" s="7">
        <f>Широкая_таблица!$AY$16</f>
        <v>2</v>
      </c>
      <c r="I81" s="7">
        <f>Широкая_таблица!$AZ$16</f>
        <v>17</v>
      </c>
    </row>
    <row r="82" spans="1:9" x14ac:dyDescent="0.3">
      <c r="A82" s="3">
        <f>Широкая_таблица!$A$17</f>
        <v>46283</v>
      </c>
      <c r="B82" s="4" t="str">
        <f>Широкая_таблица!$C$17</f>
        <v>Пузанов Д.В.</v>
      </c>
      <c r="C82" s="4" t="str">
        <f>INDEX(Настройки!$A$10:$A$16,1)</f>
        <v>АК-10</v>
      </c>
      <c r="D82" s="4">
        <f>Широкая_таблица!$D$17</f>
        <v>31</v>
      </c>
      <c r="E82" s="4">
        <f>Широкая_таблица!$E$17</f>
        <v>0</v>
      </c>
      <c r="F82" s="4">
        <f>Широкая_таблица!$F$17</f>
        <v>0</v>
      </c>
      <c r="G82" s="4">
        <f>Широкая_таблица!$G$17+Широкая_таблица!$H$17</f>
        <v>0</v>
      </c>
      <c r="H82" s="4">
        <f>Широкая_таблица!$I$17</f>
        <v>1</v>
      </c>
      <c r="I82" s="4">
        <f>Широкая_таблица!$J$17</f>
        <v>30</v>
      </c>
    </row>
    <row r="83" spans="1:9" x14ac:dyDescent="0.3">
      <c r="A83" s="6">
        <f>Широкая_таблица!$A$17</f>
        <v>46283</v>
      </c>
      <c r="B83" s="7" t="str">
        <f>Широкая_таблица!$C$17</f>
        <v>Пузанов Д.В.</v>
      </c>
      <c r="C83" s="7" t="str">
        <f>INDEX(Настройки!$A$10:$A$16,2)</f>
        <v>АК-15</v>
      </c>
      <c r="D83" s="7">
        <f>Широкая_таблица!$K$17</f>
        <v>31</v>
      </c>
      <c r="E83" s="7">
        <f>Широкая_таблица!$L$17</f>
        <v>0</v>
      </c>
      <c r="F83" s="7">
        <f>Широкая_таблица!$M$17</f>
        <v>0</v>
      </c>
      <c r="G83" s="7">
        <f>Широкая_таблица!$N$17+Широкая_таблица!$O$17</f>
        <v>0</v>
      </c>
      <c r="H83" s="7">
        <f>Широкая_таблица!$P$17</f>
        <v>1</v>
      </c>
      <c r="I83" s="7">
        <f>Широкая_таблица!$Q$17</f>
        <v>30</v>
      </c>
    </row>
    <row r="84" spans="1:9" x14ac:dyDescent="0.3">
      <c r="A84" s="3">
        <f>Широкая_таблица!$A$17</f>
        <v>46283</v>
      </c>
      <c r="B84" s="4" t="str">
        <f>Широкая_таблица!$C$17</f>
        <v>Пузанов Д.В.</v>
      </c>
      <c r="C84" s="4" t="str">
        <f>INDEX(Настройки!$A$10:$A$16,3)</f>
        <v>Г 3500</v>
      </c>
      <c r="D84" s="4">
        <f>Широкая_таблица!$R$17</f>
        <v>16</v>
      </c>
      <c r="E84" s="4">
        <f>Широкая_таблица!$S$17</f>
        <v>0</v>
      </c>
      <c r="F84" s="4">
        <f>Широкая_таблица!$T$17</f>
        <v>0</v>
      </c>
      <c r="G84" s="4">
        <f>Широкая_таблица!$U$17+Широкая_таблица!$V$17</f>
        <v>0</v>
      </c>
      <c r="H84" s="4">
        <f>Широкая_таблица!$W$17</f>
        <v>1</v>
      </c>
      <c r="I84" s="4">
        <f>Широкая_таблица!$X$17</f>
        <v>15</v>
      </c>
    </row>
    <row r="85" spans="1:9" x14ac:dyDescent="0.3">
      <c r="A85" s="6">
        <f>Широкая_таблица!$A$17</f>
        <v>46283</v>
      </c>
      <c r="B85" s="7" t="str">
        <f>Широкая_таблица!$C$17</f>
        <v>Пузанов Д.В.</v>
      </c>
      <c r="C85" s="7" t="str">
        <f>INDEX(Настройки!$A$10:$A$16,4)</f>
        <v>Г 1800</v>
      </c>
      <c r="D85" s="7">
        <f>Широкая_таблица!$Y$17</f>
        <v>80</v>
      </c>
      <c r="E85" s="7">
        <f>Широкая_таблица!$Z$17</f>
        <v>0</v>
      </c>
      <c r="F85" s="7">
        <f>Широкая_таблица!$AA$17</f>
        <v>0</v>
      </c>
      <c r="G85" s="7">
        <f>Широкая_таблица!$AB$17+Широкая_таблица!$AC$17</f>
        <v>0</v>
      </c>
      <c r="H85" s="7">
        <f>Широкая_таблица!$AD$17</f>
        <v>13</v>
      </c>
      <c r="I85" s="7">
        <f>Широкая_таблица!$AE$17</f>
        <v>67</v>
      </c>
    </row>
    <row r="86" spans="1:9" x14ac:dyDescent="0.3">
      <c r="A86" s="3">
        <f>Широкая_таблица!$A$17</f>
        <v>46283</v>
      </c>
      <c r="B86" s="4" t="str">
        <f>Широкая_таблица!$C$17</f>
        <v>Пузанов Д.В.</v>
      </c>
      <c r="C86" s="4" t="str">
        <f>INDEX(Настройки!$A$10:$A$16,5)</f>
        <v>Г 800</v>
      </c>
      <c r="D86" s="4">
        <f>Широкая_таблица!$AF$17</f>
        <v>39</v>
      </c>
      <c r="E86" s="4">
        <f>Широкая_таблица!$AG$17</f>
        <v>0</v>
      </c>
      <c r="F86" s="4">
        <f>Широкая_таблица!$AH$17</f>
        <v>0</v>
      </c>
      <c r="G86" s="4">
        <f>Широкая_таблица!$AI$17+Широкая_таблица!$AJ$17</f>
        <v>0</v>
      </c>
      <c r="H86" s="4">
        <f>Широкая_таблица!$AK$17</f>
        <v>4</v>
      </c>
      <c r="I86" s="4">
        <f>Широкая_таблица!$AL$17</f>
        <v>35</v>
      </c>
    </row>
    <row r="87" spans="1:9" x14ac:dyDescent="0.3">
      <c r="A87" s="6">
        <f>Широкая_таблица!$A$17</f>
        <v>46283</v>
      </c>
      <c r="B87" s="7" t="str">
        <f>Широкая_таблица!$C$17</f>
        <v>Пузанов Д.В.</v>
      </c>
      <c r="C87" s="7" t="str">
        <f>INDEX(Настройки!$A$10:$A$16,6)</f>
        <v>Ми-К</v>
      </c>
      <c r="D87" s="7">
        <f>Широкая_таблица!$AM$17</f>
        <v>15</v>
      </c>
      <c r="E87" s="7">
        <f>Широкая_таблица!$AN$17</f>
        <v>0</v>
      </c>
      <c r="F87" s="7">
        <f>Широкая_таблица!$AO$17</f>
        <v>0</v>
      </c>
      <c r="G87" s="7">
        <f>Широкая_таблица!$AP$17+Широкая_таблица!$AQ$17</f>
        <v>0</v>
      </c>
      <c r="H87" s="7">
        <f>Широкая_таблица!$AR$17</f>
        <v>0</v>
      </c>
      <c r="I87" s="7">
        <f>Широкая_таблица!$AS$17</f>
        <v>15</v>
      </c>
    </row>
    <row r="88" spans="1:9" x14ac:dyDescent="0.3">
      <c r="A88" s="3">
        <f>Широкая_таблица!$A$17</f>
        <v>46283</v>
      </c>
      <c r="B88" s="4" t="str">
        <f>Широкая_таблица!$C$17</f>
        <v>Пузанов Д.В.</v>
      </c>
      <c r="C88" s="4" t="str">
        <f>INDEX(Настройки!$A$10:$A$16,7)</f>
        <v>Ми-П</v>
      </c>
      <c r="D88" s="4">
        <f>Широкая_таблица!$AT$17</f>
        <v>17</v>
      </c>
      <c r="E88" s="4">
        <f>Широкая_таблица!$AU$17</f>
        <v>0</v>
      </c>
      <c r="F88" s="4">
        <f>Широкая_таблица!$AV$17</f>
        <v>0</v>
      </c>
      <c r="G88" s="4">
        <f>Широкая_таблица!$AW$17+Широкая_таблица!$AX$17</f>
        <v>0</v>
      </c>
      <c r="H88" s="4">
        <f>Широкая_таблица!$AY$17</f>
        <v>0</v>
      </c>
      <c r="I88" s="4">
        <f>Широкая_таблица!$AZ$17</f>
        <v>17</v>
      </c>
    </row>
    <row r="89" spans="1:9" x14ac:dyDescent="0.3">
      <c r="A89" s="6">
        <f>Широкая_таблица!$A$18</f>
        <v>46284</v>
      </c>
      <c r="B89" s="7" t="str">
        <f>Широкая_таблица!$C$18</f>
        <v>Завалишин Д.Л.</v>
      </c>
      <c r="C89" s="7" t="str">
        <f>INDEX(Настройки!$A$10:$A$16,1)</f>
        <v>АК-10</v>
      </c>
      <c r="D89" s="7">
        <f>Широкая_таблица!$D$18</f>
        <v>30</v>
      </c>
      <c r="E89" s="7">
        <f>Широкая_таблица!$E$18</f>
        <v>0</v>
      </c>
      <c r="F89" s="7">
        <f>Широкая_таблица!$F$18</f>
        <v>0</v>
      </c>
      <c r="G89" s="7">
        <f>Широкая_таблица!$G$18+Широкая_таблица!$H$18</f>
        <v>0</v>
      </c>
      <c r="H89" s="7">
        <f>Широкая_таблица!$I$18</f>
        <v>0</v>
      </c>
      <c r="I89" s="7">
        <f>Широкая_таблица!$J$18</f>
        <v>30</v>
      </c>
    </row>
    <row r="90" spans="1:9" x14ac:dyDescent="0.3">
      <c r="A90" s="3">
        <f>Широкая_таблица!$A$18</f>
        <v>46284</v>
      </c>
      <c r="B90" s="4" t="str">
        <f>Широкая_таблица!$C$18</f>
        <v>Завалишин Д.Л.</v>
      </c>
      <c r="C90" s="4" t="str">
        <f>INDEX(Настройки!$A$10:$A$16,2)</f>
        <v>АК-15</v>
      </c>
      <c r="D90" s="4">
        <f>Широкая_таблица!$K$18</f>
        <v>30</v>
      </c>
      <c r="E90" s="4">
        <f>Широкая_таблица!$L$18</f>
        <v>0</v>
      </c>
      <c r="F90" s="4">
        <f>Широкая_таблица!$M$18</f>
        <v>0</v>
      </c>
      <c r="G90" s="4">
        <f>Широкая_таблица!$N$18+Широкая_таблица!$O$18</f>
        <v>0</v>
      </c>
      <c r="H90" s="4">
        <f>Широкая_таблица!$P$18</f>
        <v>0</v>
      </c>
      <c r="I90" s="4">
        <f>Широкая_таблица!$Q$18</f>
        <v>30</v>
      </c>
    </row>
    <row r="91" spans="1:9" x14ac:dyDescent="0.3">
      <c r="A91" s="6">
        <f>Широкая_таблица!$A$18</f>
        <v>46284</v>
      </c>
      <c r="B91" s="7" t="str">
        <f>Широкая_таблица!$C$18</f>
        <v>Завалишин Д.Л.</v>
      </c>
      <c r="C91" s="7" t="str">
        <f>INDEX(Настройки!$A$10:$A$16,3)</f>
        <v>Г 3500</v>
      </c>
      <c r="D91" s="7">
        <f>Широкая_таблица!$R$18</f>
        <v>15</v>
      </c>
      <c r="E91" s="7">
        <f>Широкая_таблица!$S$18</f>
        <v>0</v>
      </c>
      <c r="F91" s="7">
        <f>Широкая_таблица!$T$18</f>
        <v>0</v>
      </c>
      <c r="G91" s="7">
        <f>Широкая_таблица!$U$18+Широкая_таблица!$V$18</f>
        <v>0</v>
      </c>
      <c r="H91" s="7">
        <f>Широкая_таблица!$W$18</f>
        <v>0</v>
      </c>
      <c r="I91" s="7">
        <f>Широкая_таблица!$X$18</f>
        <v>15</v>
      </c>
    </row>
    <row r="92" spans="1:9" x14ac:dyDescent="0.3">
      <c r="A92" s="3">
        <f>Широкая_таблица!$A$18</f>
        <v>46284</v>
      </c>
      <c r="B92" s="4" t="str">
        <f>Широкая_таблица!$C$18</f>
        <v>Завалишин Д.Л.</v>
      </c>
      <c r="C92" s="4" t="str">
        <f>INDEX(Настройки!$A$10:$A$16,4)</f>
        <v>Г 1800</v>
      </c>
      <c r="D92" s="4">
        <f>Широкая_таблица!$Y$18</f>
        <v>67</v>
      </c>
      <c r="E92" s="4">
        <f>Широкая_таблица!$Z$18</f>
        <v>0</v>
      </c>
      <c r="F92" s="4">
        <f>Широкая_таблица!$AA$18</f>
        <v>0</v>
      </c>
      <c r="G92" s="4">
        <f>Широкая_таблица!$AB$18+Широкая_таблица!$AC$18</f>
        <v>0</v>
      </c>
      <c r="H92" s="4">
        <f>Широкая_таблица!$AD$18</f>
        <v>15</v>
      </c>
      <c r="I92" s="4">
        <f>Широкая_таблица!$AE$18</f>
        <v>52</v>
      </c>
    </row>
    <row r="93" spans="1:9" x14ac:dyDescent="0.3">
      <c r="A93" s="6">
        <f>Широкая_таблица!$A$18</f>
        <v>46284</v>
      </c>
      <c r="B93" s="7" t="str">
        <f>Широкая_таблица!$C$18</f>
        <v>Завалишин Д.Л.</v>
      </c>
      <c r="C93" s="7" t="str">
        <f>INDEX(Настройки!$A$10:$A$16,5)</f>
        <v>Г 800</v>
      </c>
      <c r="D93" s="7">
        <f>Широкая_таблица!$AF$18</f>
        <v>35</v>
      </c>
      <c r="E93" s="7">
        <f>Широкая_таблица!$AG$18</f>
        <v>0</v>
      </c>
      <c r="F93" s="7">
        <f>Широкая_таблица!$AH$18</f>
        <v>0</v>
      </c>
      <c r="G93" s="7">
        <f>Широкая_таблица!$AI$18+Широкая_таблица!$AJ$18</f>
        <v>0</v>
      </c>
      <c r="H93" s="7">
        <f>Широкая_таблица!$AK$18</f>
        <v>7</v>
      </c>
      <c r="I93" s="7">
        <f>Широкая_таблица!$AL$18</f>
        <v>28</v>
      </c>
    </row>
    <row r="94" spans="1:9" x14ac:dyDescent="0.3">
      <c r="A94" s="3">
        <f>Широкая_таблица!$A$18</f>
        <v>46284</v>
      </c>
      <c r="B94" s="4" t="str">
        <f>Широкая_таблица!$C$18</f>
        <v>Завалишин Д.Л.</v>
      </c>
      <c r="C94" s="4" t="str">
        <f>INDEX(Настройки!$A$10:$A$16,6)</f>
        <v>Ми-К</v>
      </c>
      <c r="D94" s="4">
        <f>Широкая_таблица!$AM$18</f>
        <v>15</v>
      </c>
      <c r="E94" s="4">
        <f>Широкая_таблица!$AN$18</f>
        <v>0</v>
      </c>
      <c r="F94" s="4">
        <f>Широкая_таблица!$AO$18</f>
        <v>0</v>
      </c>
      <c r="G94" s="4">
        <f>Широкая_таблица!$AP$18+Широкая_таблица!$AQ$18</f>
        <v>0</v>
      </c>
      <c r="H94" s="4">
        <f>Широкая_таблица!$AR$18</f>
        <v>0</v>
      </c>
      <c r="I94" s="4">
        <f>Широкая_таблица!$AS$18</f>
        <v>15</v>
      </c>
    </row>
    <row r="95" spans="1:9" x14ac:dyDescent="0.3">
      <c r="A95" s="6">
        <f>Широкая_таблица!$A$18</f>
        <v>46284</v>
      </c>
      <c r="B95" s="7" t="str">
        <f>Широкая_таблица!$C$18</f>
        <v>Завалишин Д.Л.</v>
      </c>
      <c r="C95" s="7" t="str">
        <f>INDEX(Настройки!$A$10:$A$16,7)</f>
        <v>Ми-П</v>
      </c>
      <c r="D95" s="7">
        <f>Широкая_таблица!$AT$18</f>
        <v>17</v>
      </c>
      <c r="E95" s="7">
        <f>Широкая_таблица!$AU$18</f>
        <v>0</v>
      </c>
      <c r="F95" s="7">
        <f>Широкая_таблица!$AV$18</f>
        <v>0</v>
      </c>
      <c r="G95" s="7">
        <f>Широкая_таблица!$AW$18+Широкая_таблица!$AX$18</f>
        <v>0</v>
      </c>
      <c r="H95" s="7">
        <f>Широкая_таблица!$AY$18</f>
        <v>0</v>
      </c>
      <c r="I95" s="7">
        <f>Широкая_таблица!$AZ$18</f>
        <v>17</v>
      </c>
    </row>
    <row r="96" spans="1:9" x14ac:dyDescent="0.3">
      <c r="A96" s="3">
        <f>Широкая_таблица!$A$19</f>
        <v>46285</v>
      </c>
      <c r="B96" s="4" t="str">
        <f>Широкая_таблица!$C$19</f>
        <v>Завалишин Д.Л.</v>
      </c>
      <c r="C96" s="4" t="str">
        <f>INDEX(Настройки!$A$10:$A$16,1)</f>
        <v>АК-10</v>
      </c>
      <c r="D96" s="4">
        <f>Широкая_таблица!$D$19</f>
        <v>30</v>
      </c>
      <c r="E96" s="4">
        <f>Широкая_таблица!$E$19</f>
        <v>0</v>
      </c>
      <c r="F96" s="4">
        <f>Широкая_таблица!$F$19</f>
        <v>0</v>
      </c>
      <c r="G96" s="4">
        <f>Широкая_таблица!$G$19+Широкая_таблица!$H$19</f>
        <v>0</v>
      </c>
      <c r="H96" s="4">
        <f>Широкая_таблица!$I$19</f>
        <v>3</v>
      </c>
      <c r="I96" s="4">
        <f>Широкая_таблица!$J$19</f>
        <v>27</v>
      </c>
    </row>
    <row r="97" spans="1:9" x14ac:dyDescent="0.3">
      <c r="A97" s="6">
        <f>Широкая_таблица!$A$19</f>
        <v>46285</v>
      </c>
      <c r="B97" s="7" t="str">
        <f>Широкая_таблица!$C$19</f>
        <v>Завалишин Д.Л.</v>
      </c>
      <c r="C97" s="7" t="str">
        <f>INDEX(Настройки!$A$10:$A$16,2)</f>
        <v>АК-15</v>
      </c>
      <c r="D97" s="7">
        <f>Широкая_таблица!$K$19</f>
        <v>30</v>
      </c>
      <c r="E97" s="7">
        <f>Широкая_таблица!$L$19</f>
        <v>0</v>
      </c>
      <c r="F97" s="7">
        <f>Широкая_таблица!$M$19</f>
        <v>0</v>
      </c>
      <c r="G97" s="7">
        <f>Широкая_таблица!$N$19+Широкая_таблица!$O$19</f>
        <v>0</v>
      </c>
      <c r="H97" s="7">
        <f>Широкая_таблица!$P$19</f>
        <v>3</v>
      </c>
      <c r="I97" s="7">
        <f>Широкая_таблица!$Q$19</f>
        <v>27</v>
      </c>
    </row>
    <row r="98" spans="1:9" x14ac:dyDescent="0.3">
      <c r="A98" s="3">
        <f>Широкая_таблица!$A$19</f>
        <v>46285</v>
      </c>
      <c r="B98" s="4" t="str">
        <f>Широкая_таблица!$C$19</f>
        <v>Завалишин Д.Л.</v>
      </c>
      <c r="C98" s="4" t="str">
        <f>INDEX(Настройки!$A$10:$A$16,3)</f>
        <v>Г 3500</v>
      </c>
      <c r="D98" s="4">
        <f>Широкая_таблица!$R$19</f>
        <v>15</v>
      </c>
      <c r="E98" s="4">
        <f>Широкая_таблица!$S$19</f>
        <v>0</v>
      </c>
      <c r="F98" s="4">
        <f>Широкая_таблица!$T$19</f>
        <v>0</v>
      </c>
      <c r="G98" s="4">
        <f>Широкая_таблица!$U$19+Широкая_таблица!$V$19</f>
        <v>0</v>
      </c>
      <c r="H98" s="4">
        <f>Широкая_таблица!$W$19</f>
        <v>2</v>
      </c>
      <c r="I98" s="4">
        <f>Широкая_таблица!$X$19</f>
        <v>13</v>
      </c>
    </row>
    <row r="99" spans="1:9" x14ac:dyDescent="0.3">
      <c r="A99" s="6">
        <f>Широкая_таблица!$A$19</f>
        <v>46285</v>
      </c>
      <c r="B99" s="7" t="str">
        <f>Широкая_таблица!$C$19</f>
        <v>Завалишин Д.Л.</v>
      </c>
      <c r="C99" s="7" t="str">
        <f>INDEX(Настройки!$A$10:$A$16,4)</f>
        <v>Г 1800</v>
      </c>
      <c r="D99" s="7">
        <f>Широкая_таблица!$Y$19</f>
        <v>52</v>
      </c>
      <c r="E99" s="7">
        <f>Широкая_таблица!$Z$19</f>
        <v>0</v>
      </c>
      <c r="F99" s="7">
        <f>Широкая_таблица!$AA$19</f>
        <v>0</v>
      </c>
      <c r="G99" s="7">
        <f>Широкая_таблица!$AB$19+Широкая_таблица!$AC$19</f>
        <v>0</v>
      </c>
      <c r="H99" s="7">
        <f>Широкая_таблица!$AD$19</f>
        <v>13</v>
      </c>
      <c r="I99" s="7">
        <f>Широкая_таблица!$AE$19</f>
        <v>39</v>
      </c>
    </row>
    <row r="100" spans="1:9" x14ac:dyDescent="0.3">
      <c r="A100" s="3">
        <f>Широкая_таблица!$A$19</f>
        <v>46285</v>
      </c>
      <c r="B100" s="4" t="str">
        <f>Широкая_таблица!$C$19</f>
        <v>Завалишин Д.Л.</v>
      </c>
      <c r="C100" s="4" t="str">
        <f>INDEX(Настройки!$A$10:$A$16,5)</f>
        <v>Г 800</v>
      </c>
      <c r="D100" s="4">
        <f>Широкая_таблица!$AF$19</f>
        <v>28</v>
      </c>
      <c r="E100" s="4">
        <f>Широкая_таблица!$AG$19</f>
        <v>0</v>
      </c>
      <c r="F100" s="4">
        <f>Широкая_таблица!$AH$19</f>
        <v>0</v>
      </c>
      <c r="G100" s="4">
        <f>Широкая_таблица!$AI$19+Широкая_таблица!$AJ$19</f>
        <v>0</v>
      </c>
      <c r="H100" s="4">
        <f>Широкая_таблица!$AK$19</f>
        <v>8</v>
      </c>
      <c r="I100" s="4">
        <f>Широкая_таблица!$AL$19</f>
        <v>20</v>
      </c>
    </row>
    <row r="101" spans="1:9" x14ac:dyDescent="0.3">
      <c r="A101" s="6">
        <f>Широкая_таблица!$A$19</f>
        <v>46285</v>
      </c>
      <c r="B101" s="7" t="str">
        <f>Широкая_таблица!$C$19</f>
        <v>Завалишин Д.Л.</v>
      </c>
      <c r="C101" s="7" t="str">
        <f>INDEX(Настройки!$A$10:$A$16,6)</f>
        <v>Ми-К</v>
      </c>
      <c r="D101" s="7">
        <f>Широкая_таблица!$AM$19</f>
        <v>15</v>
      </c>
      <c r="E101" s="7">
        <f>Широкая_таблица!$AN$19</f>
        <v>0</v>
      </c>
      <c r="F101" s="7">
        <f>Широкая_таблица!$AO$19</f>
        <v>0</v>
      </c>
      <c r="G101" s="7">
        <f>Широкая_таблица!$AP$19+Широкая_таблица!$AQ$19</f>
        <v>-1</v>
      </c>
      <c r="H101" s="7">
        <f>Широкая_таблица!$AR$19</f>
        <v>4</v>
      </c>
      <c r="I101" s="7">
        <f>Широкая_таблица!$AS$19</f>
        <v>10</v>
      </c>
    </row>
    <row r="102" spans="1:9" x14ac:dyDescent="0.3">
      <c r="A102" s="3">
        <f>Широкая_таблица!$A$19</f>
        <v>46285</v>
      </c>
      <c r="B102" s="4" t="str">
        <f>Широкая_таблица!$C$19</f>
        <v>Завалишин Д.Л.</v>
      </c>
      <c r="C102" s="4" t="str">
        <f>INDEX(Настройки!$A$10:$A$16,7)</f>
        <v>Ми-П</v>
      </c>
      <c r="D102" s="4">
        <f>Широкая_таблица!$AT$19</f>
        <v>17</v>
      </c>
      <c r="E102" s="4">
        <f>Широкая_таблица!$AU$19</f>
        <v>0</v>
      </c>
      <c r="F102" s="4">
        <f>Широкая_таблица!$AV$19</f>
        <v>0</v>
      </c>
      <c r="G102" s="4">
        <f>Широкая_таблица!$AW$19+Широкая_таблица!$AX$19</f>
        <v>0</v>
      </c>
      <c r="H102" s="4">
        <f>Широкая_таблица!$AY$19</f>
        <v>1</v>
      </c>
      <c r="I102" s="4">
        <f>Широкая_таблица!$AZ$19</f>
        <v>16</v>
      </c>
    </row>
    <row r="103" spans="1:9" x14ac:dyDescent="0.3">
      <c r="A103" s="6">
        <f>Широкая_таблица!$A$20</f>
        <v>46286</v>
      </c>
      <c r="B103" s="7" t="str">
        <f>Широкая_таблица!$C$20</f>
        <v>Пузанов Д.В.</v>
      </c>
      <c r="C103" s="7" t="str">
        <f>INDEX(Настройки!$A$10:$A$16,1)</f>
        <v>АК-10</v>
      </c>
      <c r="D103" s="7">
        <f>Широкая_таблица!$D$20</f>
        <v>27</v>
      </c>
      <c r="E103" s="7">
        <f>Широкая_таблица!$E$20</f>
        <v>0</v>
      </c>
      <c r="F103" s="7">
        <f>Широкая_таблица!$F$20</f>
        <v>0</v>
      </c>
      <c r="G103" s="7">
        <f>Широкая_таблица!$G$20+Широкая_таблица!$H$20</f>
        <v>0</v>
      </c>
      <c r="H103" s="7">
        <f>Широкая_таблица!$I$20</f>
        <v>1</v>
      </c>
      <c r="I103" s="7">
        <f>Широкая_таблица!$J$20</f>
        <v>26</v>
      </c>
    </row>
    <row r="104" spans="1:9" x14ac:dyDescent="0.3">
      <c r="A104" s="3">
        <f>Широкая_таблица!$A$20</f>
        <v>46286</v>
      </c>
      <c r="B104" s="4" t="str">
        <f>Широкая_таблица!$C$20</f>
        <v>Пузанов Д.В.</v>
      </c>
      <c r="C104" s="4" t="str">
        <f>INDEX(Настройки!$A$10:$A$16,2)</f>
        <v>АК-15</v>
      </c>
      <c r="D104" s="4">
        <f>Широкая_таблица!$K$20</f>
        <v>27</v>
      </c>
      <c r="E104" s="4">
        <f>Широкая_таблица!$L$20</f>
        <v>0</v>
      </c>
      <c r="F104" s="4">
        <f>Широкая_таблица!$M$20</f>
        <v>0</v>
      </c>
      <c r="G104" s="4">
        <f>Широкая_таблица!$N$20+Широкая_таблица!$O$20</f>
        <v>0</v>
      </c>
      <c r="H104" s="4">
        <f>Широкая_таблица!$P$20</f>
        <v>2</v>
      </c>
      <c r="I104" s="4">
        <f>Широкая_таблица!$Q$20</f>
        <v>25</v>
      </c>
    </row>
    <row r="105" spans="1:9" x14ac:dyDescent="0.3">
      <c r="A105" s="6">
        <f>Широкая_таблица!$A$20</f>
        <v>46286</v>
      </c>
      <c r="B105" s="7" t="str">
        <f>Широкая_таблица!$C$20</f>
        <v>Пузанов Д.В.</v>
      </c>
      <c r="C105" s="7" t="str">
        <f>INDEX(Настройки!$A$10:$A$16,3)</f>
        <v>Г 3500</v>
      </c>
      <c r="D105" s="7">
        <f>Широкая_таблица!$R$20</f>
        <v>13</v>
      </c>
      <c r="E105" s="7">
        <f>Широкая_таблица!$S$20</f>
        <v>0</v>
      </c>
      <c r="F105" s="7">
        <f>Широкая_таблица!$T$20</f>
        <v>0</v>
      </c>
      <c r="G105" s="7">
        <f>Широкая_таблица!$U$20+Широкая_таблица!$V$20</f>
        <v>0</v>
      </c>
      <c r="H105" s="7">
        <f>Широкая_таблица!$W$20</f>
        <v>0</v>
      </c>
      <c r="I105" s="7">
        <f>Широкая_таблица!$X$20</f>
        <v>13</v>
      </c>
    </row>
    <row r="106" spans="1:9" x14ac:dyDescent="0.3">
      <c r="A106" s="3">
        <f>Широкая_таблица!$A$20</f>
        <v>46286</v>
      </c>
      <c r="B106" s="4" t="str">
        <f>Широкая_таблица!$C$20</f>
        <v>Пузанов Д.В.</v>
      </c>
      <c r="C106" s="4" t="str">
        <f>INDEX(Настройки!$A$10:$A$16,4)</f>
        <v>Г 1800</v>
      </c>
      <c r="D106" s="4">
        <f>Широкая_таблица!$Y$20</f>
        <v>39</v>
      </c>
      <c r="E106" s="4">
        <f>Широкая_таблица!$Z$20</f>
        <v>0</v>
      </c>
      <c r="F106" s="4">
        <f>Широкая_таблица!$AA$20</f>
        <v>0</v>
      </c>
      <c r="G106" s="4">
        <f>Широкая_таблица!$AB$20+Широкая_таблица!$AC$20</f>
        <v>0</v>
      </c>
      <c r="H106" s="4">
        <f>Широкая_таблица!$AD$20</f>
        <v>14</v>
      </c>
      <c r="I106" s="4">
        <f>Широкая_таблица!$AE$20</f>
        <v>25</v>
      </c>
    </row>
    <row r="107" spans="1:9" x14ac:dyDescent="0.3">
      <c r="A107" s="6">
        <f>Широкая_таблица!$A$20</f>
        <v>46286</v>
      </c>
      <c r="B107" s="7" t="str">
        <f>Широкая_таблица!$C$20</f>
        <v>Пузанов Д.В.</v>
      </c>
      <c r="C107" s="7" t="str">
        <f>INDEX(Настройки!$A$10:$A$16,5)</f>
        <v>Г 800</v>
      </c>
      <c r="D107" s="7">
        <f>Широкая_таблица!$AF$20</f>
        <v>20</v>
      </c>
      <c r="E107" s="7">
        <f>Широкая_таблица!$AG$20</f>
        <v>0</v>
      </c>
      <c r="F107" s="7">
        <f>Широкая_таблица!$AH$20</f>
        <v>0</v>
      </c>
      <c r="G107" s="7">
        <f>Широкая_таблица!$AI$20+Широкая_таблица!$AJ$20</f>
        <v>0</v>
      </c>
      <c r="H107" s="7">
        <f>Широкая_таблица!$AK$20</f>
        <v>5</v>
      </c>
      <c r="I107" s="7">
        <f>Широкая_таблица!$AL$20</f>
        <v>15</v>
      </c>
    </row>
    <row r="108" spans="1:9" x14ac:dyDescent="0.3">
      <c r="A108" s="3">
        <f>Широкая_таблица!$A$20</f>
        <v>46286</v>
      </c>
      <c r="B108" s="4" t="str">
        <f>Широкая_таблица!$C$20</f>
        <v>Пузанов Д.В.</v>
      </c>
      <c r="C108" s="4" t="str">
        <f>INDEX(Настройки!$A$10:$A$16,6)</f>
        <v>Ми-К</v>
      </c>
      <c r="D108" s="4">
        <f>Широкая_таблица!$AM$20</f>
        <v>10</v>
      </c>
      <c r="E108" s="4">
        <f>Широкая_таблица!$AN$20</f>
        <v>0</v>
      </c>
      <c r="F108" s="4">
        <f>Широкая_таблица!$AO$20</f>
        <v>0</v>
      </c>
      <c r="G108" s="4">
        <f>Широкая_таблица!$AP$20+Широкая_таблица!$AQ$20</f>
        <v>0</v>
      </c>
      <c r="H108" s="4">
        <f>Широкая_таблица!$AR$20</f>
        <v>2</v>
      </c>
      <c r="I108" s="4">
        <f>Широкая_таблица!$AS$20</f>
        <v>8</v>
      </c>
    </row>
    <row r="109" spans="1:9" x14ac:dyDescent="0.3">
      <c r="A109" s="6">
        <f>Широкая_таблица!$A$20</f>
        <v>46286</v>
      </c>
      <c r="B109" s="7" t="str">
        <f>Широкая_таблица!$C$20</f>
        <v>Пузанов Д.В.</v>
      </c>
      <c r="C109" s="7" t="str">
        <f>INDEX(Настройки!$A$10:$A$16,7)</f>
        <v>Ми-П</v>
      </c>
      <c r="D109" s="7">
        <f>Широкая_таблица!$AT$20</f>
        <v>16</v>
      </c>
      <c r="E109" s="7">
        <f>Широкая_таблица!$AU$20</f>
        <v>0</v>
      </c>
      <c r="F109" s="7">
        <f>Широкая_таблица!$AV$20</f>
        <v>0</v>
      </c>
      <c r="G109" s="7">
        <f>Широкая_таблица!$AW$20+Широкая_таблица!$AX$20</f>
        <v>0</v>
      </c>
      <c r="H109" s="7">
        <f>Широкая_таблица!$AY$20</f>
        <v>3</v>
      </c>
      <c r="I109" s="7">
        <f>Широкая_таблица!$AZ$20</f>
        <v>13</v>
      </c>
    </row>
    <row r="110" spans="1:9" x14ac:dyDescent="0.3">
      <c r="A110" s="3">
        <f>Широкая_таблица!$A$21</f>
        <v>46287</v>
      </c>
      <c r="B110" s="4" t="str">
        <f>Широкая_таблица!$C$21</f>
        <v>Завалишин Д.Л.</v>
      </c>
      <c r="C110" s="4" t="str">
        <f>INDEX(Настройки!$A$10:$A$16,1)</f>
        <v>АК-10</v>
      </c>
      <c r="D110" s="4">
        <f>Широкая_таблица!$D$21</f>
        <v>26</v>
      </c>
      <c r="E110" s="4">
        <f>Широкая_таблица!$E$21</f>
        <v>0</v>
      </c>
      <c r="F110" s="4">
        <f>Широкая_таблица!$F$21</f>
        <v>0</v>
      </c>
      <c r="G110" s="4">
        <f>Широкая_таблица!$G$21+Широкая_таблица!$H$21</f>
        <v>0</v>
      </c>
      <c r="H110" s="4">
        <f>Широкая_таблица!$I$21</f>
        <v>0</v>
      </c>
      <c r="I110" s="4">
        <f>Широкая_таблица!$J$21</f>
        <v>26</v>
      </c>
    </row>
    <row r="111" spans="1:9" x14ac:dyDescent="0.3">
      <c r="A111" s="6">
        <f>Широкая_таблица!$A$21</f>
        <v>46287</v>
      </c>
      <c r="B111" s="7" t="str">
        <f>Широкая_таблица!$C$21</f>
        <v>Завалишин Д.Л.</v>
      </c>
      <c r="C111" s="7" t="str">
        <f>INDEX(Настройки!$A$10:$A$16,2)</f>
        <v>АК-15</v>
      </c>
      <c r="D111" s="7">
        <f>Широкая_таблица!$K$21</f>
        <v>25</v>
      </c>
      <c r="E111" s="7">
        <f>Широкая_таблица!$L$21</f>
        <v>0</v>
      </c>
      <c r="F111" s="7">
        <f>Широкая_таблица!$M$21</f>
        <v>0</v>
      </c>
      <c r="G111" s="7">
        <f>Широкая_таблица!$N$21+Широкая_таблица!$O$21</f>
        <v>0</v>
      </c>
      <c r="H111" s="7">
        <f>Широкая_таблица!$P$21</f>
        <v>0</v>
      </c>
      <c r="I111" s="7">
        <f>Широкая_таблица!$Q$21</f>
        <v>25</v>
      </c>
    </row>
    <row r="112" spans="1:9" x14ac:dyDescent="0.3">
      <c r="A112" s="3">
        <f>Широкая_таблица!$A$21</f>
        <v>46287</v>
      </c>
      <c r="B112" s="4" t="str">
        <f>Широкая_таблица!$C$21</f>
        <v>Завалишин Д.Л.</v>
      </c>
      <c r="C112" s="4" t="str">
        <f>INDEX(Настройки!$A$10:$A$16,3)</f>
        <v>Г 3500</v>
      </c>
      <c r="D112" s="4">
        <f>Широкая_таблица!$R$21</f>
        <v>13</v>
      </c>
      <c r="E112" s="4">
        <f>Широкая_таблица!$S$21</f>
        <v>0</v>
      </c>
      <c r="F112" s="4">
        <f>Широкая_таблица!$T$21</f>
        <v>0</v>
      </c>
      <c r="G112" s="4">
        <f>Широкая_таблица!$U$21+Широкая_таблица!$V$21</f>
        <v>0</v>
      </c>
      <c r="H112" s="4">
        <f>Широкая_таблица!$W$21</f>
        <v>0</v>
      </c>
      <c r="I112" s="4">
        <f>Широкая_таблица!$X$21</f>
        <v>13</v>
      </c>
    </row>
    <row r="113" spans="1:9" x14ac:dyDescent="0.3">
      <c r="A113" s="6">
        <f>Широкая_таблица!$A$21</f>
        <v>46287</v>
      </c>
      <c r="B113" s="7" t="str">
        <f>Широкая_таблица!$C$21</f>
        <v>Завалишин Д.Л.</v>
      </c>
      <c r="C113" s="7" t="str">
        <f>INDEX(Настройки!$A$10:$A$16,4)</f>
        <v>Г 1800</v>
      </c>
      <c r="D113" s="7">
        <f>Широкая_таблица!$Y$21</f>
        <v>25</v>
      </c>
      <c r="E113" s="7">
        <f>Широкая_таблица!$Z$21</f>
        <v>0</v>
      </c>
      <c r="F113" s="7">
        <f>Широкая_таблица!$AA$21</f>
        <v>0</v>
      </c>
      <c r="G113" s="7">
        <f>Широкая_таблица!$AB$21+Широкая_таблица!$AC$21</f>
        <v>0</v>
      </c>
      <c r="H113" s="7">
        <f>Широкая_таблица!$AD$21</f>
        <v>0</v>
      </c>
      <c r="I113" s="7">
        <f>Широкая_таблица!$AE$21</f>
        <v>25</v>
      </c>
    </row>
    <row r="114" spans="1:9" x14ac:dyDescent="0.3">
      <c r="A114" s="3">
        <f>Широкая_таблица!$A$21</f>
        <v>46287</v>
      </c>
      <c r="B114" s="4" t="str">
        <f>Широкая_таблица!$C$21</f>
        <v>Завалишин Д.Л.</v>
      </c>
      <c r="C114" s="4" t="str">
        <f>INDEX(Настройки!$A$10:$A$16,5)</f>
        <v>Г 800</v>
      </c>
      <c r="D114" s="4">
        <f>Широкая_таблица!$AF$21</f>
        <v>15</v>
      </c>
      <c r="E114" s="4">
        <f>Широкая_таблица!$AG$21</f>
        <v>0</v>
      </c>
      <c r="F114" s="4">
        <f>Широкая_таблица!$AH$21</f>
        <v>0</v>
      </c>
      <c r="G114" s="4">
        <f>Широкая_таблица!$AI$21+Широкая_таблица!$AJ$21</f>
        <v>0</v>
      </c>
      <c r="H114" s="4">
        <f>Широкая_таблица!$AK$21</f>
        <v>0</v>
      </c>
      <c r="I114" s="4">
        <f>Широкая_таблица!$AL$21</f>
        <v>15</v>
      </c>
    </row>
    <row r="115" spans="1:9" x14ac:dyDescent="0.3">
      <c r="A115" s="6">
        <f>Широкая_таблица!$A$21</f>
        <v>46287</v>
      </c>
      <c r="B115" s="7" t="str">
        <f>Широкая_таблица!$C$21</f>
        <v>Завалишин Д.Л.</v>
      </c>
      <c r="C115" s="7" t="str">
        <f>INDEX(Настройки!$A$10:$A$16,6)</f>
        <v>Ми-К</v>
      </c>
      <c r="D115" s="7">
        <f>Широкая_таблица!$AM$21</f>
        <v>8</v>
      </c>
      <c r="E115" s="7">
        <f>Широкая_таблица!$AN$21</f>
        <v>0</v>
      </c>
      <c r="F115" s="7">
        <f>Широкая_таблица!$AO$21</f>
        <v>0</v>
      </c>
      <c r="G115" s="7">
        <f>Широкая_таблица!$AP$21+Широкая_таблица!$AQ$21</f>
        <v>0</v>
      </c>
      <c r="H115" s="7">
        <f>Широкая_таблица!$AR$21</f>
        <v>0</v>
      </c>
      <c r="I115" s="7">
        <f>Широкая_таблица!$AS$21</f>
        <v>8</v>
      </c>
    </row>
    <row r="116" spans="1:9" x14ac:dyDescent="0.3">
      <c r="A116" s="3">
        <f>Широкая_таблица!$A$21</f>
        <v>46287</v>
      </c>
      <c r="B116" s="4" t="str">
        <f>Широкая_таблица!$C$21</f>
        <v>Завалишин Д.Л.</v>
      </c>
      <c r="C116" s="4" t="str">
        <f>INDEX(Настройки!$A$10:$A$16,7)</f>
        <v>Ми-П</v>
      </c>
      <c r="D116" s="4">
        <f>Широкая_таблица!$AT$21</f>
        <v>13</v>
      </c>
      <c r="E116" s="4">
        <f>Широкая_таблица!$AU$21</f>
        <v>0</v>
      </c>
      <c r="F116" s="4">
        <f>Широкая_таблица!$AV$21</f>
        <v>0</v>
      </c>
      <c r="G116" s="4">
        <f>Широкая_таблица!$AW$21+Широкая_таблица!$AX$21</f>
        <v>0</v>
      </c>
      <c r="H116" s="4">
        <f>Широкая_таблица!$AY$21</f>
        <v>0</v>
      </c>
      <c r="I116" s="4">
        <f>Широкая_таблица!$AZ$21</f>
        <v>13</v>
      </c>
    </row>
  </sheetData>
  <pageMargins left="0.7" right="0.7" top="0.75" bottom="0.75" header="0.3" footer="0.3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3"/>
  <sheetViews>
    <sheetView showGridLines="0" workbookViewId="0">
      <pane ySplit="4" topLeftCell="A5" activePane="bottomLeft" state="frozen"/>
      <selection pane="bottomLeft" activeCell="K9" sqref="K9"/>
    </sheetView>
  </sheetViews>
  <sheetFormatPr defaultRowHeight="14.4" x14ac:dyDescent="0.3"/>
  <cols>
    <col min="1" max="1" width="13.6640625" customWidth="1"/>
    <col min="2" max="3" width="18.6640625" customWidth="1"/>
    <col min="4" max="11" width="14.6640625" customWidth="1"/>
  </cols>
  <sheetData>
    <row r="1" spans="1:10" ht="21" x14ac:dyDescent="0.4">
      <c r="A1" s="1" t="s">
        <v>42</v>
      </c>
    </row>
    <row r="4" spans="1:10" ht="28.8" x14ac:dyDescent="0.3">
      <c r="A4" s="5" t="s">
        <v>21</v>
      </c>
      <c r="B4" s="5" t="s">
        <v>4</v>
      </c>
      <c r="C4" s="5" t="s">
        <v>25</v>
      </c>
      <c r="D4" s="5" t="s">
        <v>26</v>
      </c>
      <c r="E4" s="5" t="s">
        <v>29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</row>
    <row r="5" spans="1:10" x14ac:dyDescent="0.3">
      <c r="A5" s="6">
        <f>Обработка!$A$54</f>
        <v>46279</v>
      </c>
      <c r="B5" s="7" t="str">
        <f>Обработка!$C$54</f>
        <v>АК-10</v>
      </c>
      <c r="C5" s="7">
        <f>Обработка!$E$54</f>
        <v>15</v>
      </c>
      <c r="D5" s="7">
        <f>Обработка!$F$54</f>
        <v>0</v>
      </c>
      <c r="E5" s="7">
        <f>Обработка!$H$54</f>
        <v>2</v>
      </c>
      <c r="F5" s="8">
        <f>(C5+D5)*INDEX(Настройки!$B$10:$B$16,MATCH($B5,Настройки!$A$10:$A$16,0))</f>
        <v>150</v>
      </c>
      <c r="G5" s="8">
        <f>E5*INDEX(Настройки!$C$10:$C$16,MATCH($B5,Настройки!$A$10:$A$16,0))</f>
        <v>20</v>
      </c>
      <c r="H5" s="8">
        <f>E5*INDEX(Настройки!$D$10:$D$16,MATCH($B5,Настройки!$A$10:$A$16,0))</f>
        <v>40</v>
      </c>
      <c r="I5" s="8">
        <f>E5*INDEX(Настройки!$E$10:$E$16,MATCH($B5,Настройки!$A$10:$A$16,0))</f>
        <v>20</v>
      </c>
      <c r="J5" s="8">
        <f t="shared" ref="J5:J36" si="0">SUM(F5:I5)</f>
        <v>230</v>
      </c>
    </row>
    <row r="6" spans="1:10" x14ac:dyDescent="0.3">
      <c r="A6" s="3">
        <f>Обработка!$A$55</f>
        <v>46279</v>
      </c>
      <c r="B6" s="4" t="str">
        <f>Обработка!$C$55</f>
        <v>АК-15</v>
      </c>
      <c r="C6" s="4">
        <f>Обработка!$E$55</f>
        <v>0</v>
      </c>
      <c r="D6" s="4">
        <f>Обработка!$F$55</f>
        <v>0</v>
      </c>
      <c r="E6" s="4">
        <f>Обработка!$H$55</f>
        <v>2</v>
      </c>
      <c r="F6" s="9">
        <f>(C6+D6)*INDEX(Настройки!$B$10:$B$16,MATCH($B6,Настройки!$A$10:$A$16,0))</f>
        <v>0</v>
      </c>
      <c r="G6" s="9">
        <f>E6*INDEX(Настройки!$C$10:$C$16,MATCH($B6,Настройки!$A$10:$A$16,0))</f>
        <v>20</v>
      </c>
      <c r="H6" s="9">
        <f>E6*INDEX(Настройки!$D$10:$D$16,MATCH($B6,Настройки!$A$10:$A$16,0))</f>
        <v>40</v>
      </c>
      <c r="I6" s="9">
        <f>E6*INDEX(Настройки!$E$10:$E$16,MATCH($B6,Настройки!$A$10:$A$16,0))</f>
        <v>20</v>
      </c>
      <c r="J6" s="9">
        <f t="shared" si="0"/>
        <v>80</v>
      </c>
    </row>
    <row r="7" spans="1:10" x14ac:dyDescent="0.3">
      <c r="A7" s="6">
        <f>Обработка!$A$56</f>
        <v>46279</v>
      </c>
      <c r="B7" s="7" t="str">
        <f>Обработка!$C$56</f>
        <v>Г 3500</v>
      </c>
      <c r="C7" s="7">
        <f>Обработка!$E$56</f>
        <v>14</v>
      </c>
      <c r="D7" s="7">
        <f>Обработка!$F$56</f>
        <v>0</v>
      </c>
      <c r="E7" s="7">
        <f>Обработка!$H$56</f>
        <v>0</v>
      </c>
      <c r="F7" s="8">
        <f>(C7+D7)*INDEX(Настройки!$B$10:$B$16,MATCH($B7,Настройки!$A$10:$A$16,0))</f>
        <v>140</v>
      </c>
      <c r="G7" s="8">
        <f>E7*INDEX(Настройки!$C$10:$C$16,MATCH($B7,Настройки!$A$10:$A$16,0))</f>
        <v>0</v>
      </c>
      <c r="H7" s="8">
        <f>E7*INDEX(Настройки!$D$10:$D$16,MATCH($B7,Настройки!$A$10:$A$16,0))</f>
        <v>0</v>
      </c>
      <c r="I7" s="8">
        <f>E7*INDEX(Настройки!$E$10:$E$16,MATCH($B7,Настройки!$A$10:$A$16,0))</f>
        <v>0</v>
      </c>
      <c r="J7" s="8">
        <f t="shared" si="0"/>
        <v>140</v>
      </c>
    </row>
    <row r="8" spans="1:10" x14ac:dyDescent="0.3">
      <c r="A8" s="3">
        <f>Обработка!$A$57</f>
        <v>46279</v>
      </c>
      <c r="B8" s="4" t="str">
        <f>Обработка!$C$57</f>
        <v>Г 1800</v>
      </c>
      <c r="C8" s="4">
        <f>Обработка!$E$57</f>
        <v>0</v>
      </c>
      <c r="D8" s="4">
        <f>Обработка!$F$57</f>
        <v>0</v>
      </c>
      <c r="E8" s="4">
        <f>Обработка!$H$57</f>
        <v>8</v>
      </c>
      <c r="F8" s="9">
        <f>(C8+D8)*INDEX(Настройки!$B$10:$B$16,MATCH($B8,Настройки!$A$10:$A$16,0))</f>
        <v>0</v>
      </c>
      <c r="G8" s="9">
        <f>E8*INDEX(Настройки!$C$10:$C$16,MATCH($B8,Настройки!$A$10:$A$16,0))</f>
        <v>80</v>
      </c>
      <c r="H8" s="9">
        <f>E8*INDEX(Настройки!$D$10:$D$16,MATCH($B8,Настройки!$A$10:$A$16,0))</f>
        <v>240</v>
      </c>
      <c r="I8" s="9">
        <f>E8*INDEX(Настройки!$E$10:$E$16,MATCH($B8,Настройки!$A$10:$A$16,0))</f>
        <v>120</v>
      </c>
      <c r="J8" s="9">
        <f t="shared" si="0"/>
        <v>440</v>
      </c>
    </row>
    <row r="9" spans="1:10" x14ac:dyDescent="0.3">
      <c r="A9" s="6">
        <f>Обработка!$A$58</f>
        <v>46279</v>
      </c>
      <c r="B9" s="7" t="str">
        <f>Обработка!$C$58</f>
        <v>Г 800</v>
      </c>
      <c r="C9" s="7">
        <f>Обработка!$E$58</f>
        <v>0</v>
      </c>
      <c r="D9" s="7">
        <f>Обработка!$F$58</f>
        <v>0</v>
      </c>
      <c r="E9" s="7">
        <f>Обработка!$H$58</f>
        <v>9</v>
      </c>
      <c r="F9" s="8">
        <f>(C9+D9)*INDEX(Настройки!$B$10:$B$16,MATCH($B9,Настройки!$A$10:$A$16,0))</f>
        <v>0</v>
      </c>
      <c r="G9" s="8">
        <f>E9*INDEX(Настройки!$C$10:$C$16,MATCH($B9,Настройки!$A$10:$A$16,0))</f>
        <v>90</v>
      </c>
      <c r="H9" s="8">
        <f>E9*INDEX(Настройки!$D$10:$D$16,MATCH($B9,Настройки!$A$10:$A$16,0))</f>
        <v>270</v>
      </c>
      <c r="I9" s="8">
        <f>E9*INDEX(Настройки!$E$10:$E$16,MATCH($B9,Настройки!$A$10:$A$16,0))</f>
        <v>135</v>
      </c>
      <c r="J9" s="8">
        <f t="shared" si="0"/>
        <v>495</v>
      </c>
    </row>
    <row r="10" spans="1:10" x14ac:dyDescent="0.3">
      <c r="A10" s="3">
        <f>Обработка!$A$59</f>
        <v>46279</v>
      </c>
      <c r="B10" s="4" t="str">
        <f>Обработка!$C$59</f>
        <v>Ми-К</v>
      </c>
      <c r="C10" s="4">
        <f>Обработка!$E$59</f>
        <v>0</v>
      </c>
      <c r="D10" s="4">
        <f>Обработка!$F$59</f>
        <v>1</v>
      </c>
      <c r="E10" s="4">
        <f>Обработка!$H$59</f>
        <v>4</v>
      </c>
      <c r="F10" s="9">
        <f>(C10+D10)*INDEX(Настройки!$B$10:$B$16,MATCH($B10,Настройки!$A$10:$A$16,0))</f>
        <v>10</v>
      </c>
      <c r="G10" s="9">
        <f>E10*INDEX(Настройки!$C$10:$C$16,MATCH($B10,Настройки!$A$10:$A$16,0))</f>
        <v>0</v>
      </c>
      <c r="H10" s="9">
        <f>E10*INDEX(Настройки!$D$10:$D$16,MATCH($B10,Настройки!$A$10:$A$16,0))</f>
        <v>80</v>
      </c>
      <c r="I10" s="9">
        <f>E10*INDEX(Настройки!$E$10:$E$16,MATCH($B10,Настройки!$A$10:$A$16,0))</f>
        <v>40</v>
      </c>
      <c r="J10" s="9">
        <f t="shared" si="0"/>
        <v>130</v>
      </c>
    </row>
    <row r="11" spans="1:10" x14ac:dyDescent="0.3">
      <c r="A11" s="6">
        <f>Обработка!$A$60</f>
        <v>46279</v>
      </c>
      <c r="B11" s="7" t="str">
        <f>Обработка!$C$60</f>
        <v>Ми-П</v>
      </c>
      <c r="C11" s="7">
        <f>Обработка!$E$60</f>
        <v>0</v>
      </c>
      <c r="D11" s="7">
        <f>Обработка!$F$60</f>
        <v>0</v>
      </c>
      <c r="E11" s="7">
        <f>Обработка!$H$60</f>
        <v>1</v>
      </c>
      <c r="F11" s="8">
        <f>(C11+D11)*INDEX(Настройки!$B$10:$B$16,MATCH($B11,Настройки!$A$10:$A$16,0))</f>
        <v>0</v>
      </c>
      <c r="G11" s="8">
        <f>E11*INDEX(Настройки!$C$10:$C$16,MATCH($B11,Настройки!$A$10:$A$16,0))</f>
        <v>0</v>
      </c>
      <c r="H11" s="8">
        <f>E11*INDEX(Настройки!$D$10:$D$16,MATCH($B11,Настройки!$A$10:$A$16,0))</f>
        <v>20</v>
      </c>
      <c r="I11" s="8">
        <f>E11*INDEX(Настройки!$E$10:$E$16,MATCH($B11,Настройки!$A$10:$A$16,0))</f>
        <v>10</v>
      </c>
      <c r="J11" s="8">
        <f t="shared" si="0"/>
        <v>30</v>
      </c>
    </row>
    <row r="12" spans="1:10" x14ac:dyDescent="0.3">
      <c r="A12" s="3">
        <f>Обработка!$A$61</f>
        <v>46280</v>
      </c>
      <c r="B12" s="4" t="str">
        <f>Обработка!$C$61</f>
        <v>АК-10</v>
      </c>
      <c r="C12" s="4">
        <f>Обработка!$E$61</f>
        <v>0</v>
      </c>
      <c r="D12" s="4">
        <f>Обработка!$F$61</f>
        <v>0</v>
      </c>
      <c r="E12" s="4">
        <f>Обработка!$H$61</f>
        <v>0</v>
      </c>
      <c r="F12" s="9">
        <f>(C12+D12)*INDEX(Настройки!$B$10:$B$16,MATCH($B12,Настройки!$A$10:$A$16,0))</f>
        <v>0</v>
      </c>
      <c r="G12" s="9">
        <f>E12*INDEX(Настройки!$C$10:$C$16,MATCH($B12,Настройки!$A$10:$A$16,0))</f>
        <v>0</v>
      </c>
      <c r="H12" s="9">
        <f>E12*INDEX(Настройки!$D$10:$D$16,MATCH($B12,Настройки!$A$10:$A$16,0))</f>
        <v>0</v>
      </c>
      <c r="I12" s="9">
        <f>E12*INDEX(Настройки!$E$10:$E$16,MATCH($B12,Настройки!$A$10:$A$16,0))</f>
        <v>0</v>
      </c>
      <c r="J12" s="9">
        <f t="shared" si="0"/>
        <v>0</v>
      </c>
    </row>
    <row r="13" spans="1:10" x14ac:dyDescent="0.3">
      <c r="A13" s="6">
        <f>Обработка!$A$62</f>
        <v>46280</v>
      </c>
      <c r="B13" s="7" t="str">
        <f>Обработка!$C$62</f>
        <v>АК-15</v>
      </c>
      <c r="C13" s="7">
        <f>Обработка!$E$62</f>
        <v>0</v>
      </c>
      <c r="D13" s="7">
        <f>Обработка!$F$62</f>
        <v>0</v>
      </c>
      <c r="E13" s="7">
        <f>Обработка!$H$62</f>
        <v>1</v>
      </c>
      <c r="F13" s="8">
        <f>(C13+D13)*INDEX(Настройки!$B$10:$B$16,MATCH($B13,Настройки!$A$10:$A$16,0))</f>
        <v>0</v>
      </c>
      <c r="G13" s="8">
        <f>E13*INDEX(Настройки!$C$10:$C$16,MATCH($B13,Настройки!$A$10:$A$16,0))</f>
        <v>10</v>
      </c>
      <c r="H13" s="8">
        <f>E13*INDEX(Настройки!$D$10:$D$16,MATCH($B13,Настройки!$A$10:$A$16,0))</f>
        <v>20</v>
      </c>
      <c r="I13" s="8">
        <f>E13*INDEX(Настройки!$E$10:$E$16,MATCH($B13,Настройки!$A$10:$A$16,0))</f>
        <v>10</v>
      </c>
      <c r="J13" s="8">
        <f t="shared" si="0"/>
        <v>40</v>
      </c>
    </row>
    <row r="14" spans="1:10" x14ac:dyDescent="0.3">
      <c r="A14" s="3">
        <f>Обработка!$A$63</f>
        <v>46280</v>
      </c>
      <c r="B14" s="4" t="str">
        <f>Обработка!$C$63</f>
        <v>Г 3500</v>
      </c>
      <c r="C14" s="4">
        <f>Обработка!$E$63</f>
        <v>0</v>
      </c>
      <c r="D14" s="4">
        <f>Обработка!$F$63</f>
        <v>0</v>
      </c>
      <c r="E14" s="4">
        <f>Обработка!$H$63</f>
        <v>1</v>
      </c>
      <c r="F14" s="9">
        <f>(C14+D14)*INDEX(Настройки!$B$10:$B$16,MATCH($B14,Настройки!$A$10:$A$16,0))</f>
        <v>0</v>
      </c>
      <c r="G14" s="9">
        <f>E14*INDEX(Настройки!$C$10:$C$16,MATCH($B14,Настройки!$A$10:$A$16,0))</f>
        <v>15</v>
      </c>
      <c r="H14" s="9">
        <f>E14*INDEX(Настройки!$D$10:$D$16,MATCH($B14,Настройки!$A$10:$A$16,0))</f>
        <v>35</v>
      </c>
      <c r="I14" s="9">
        <f>E14*INDEX(Настройки!$E$10:$E$16,MATCH($B14,Настройки!$A$10:$A$16,0))</f>
        <v>25</v>
      </c>
      <c r="J14" s="9">
        <f t="shared" si="0"/>
        <v>75</v>
      </c>
    </row>
    <row r="15" spans="1:10" x14ac:dyDescent="0.3">
      <c r="A15" s="6">
        <f>Обработка!$A$64</f>
        <v>46280</v>
      </c>
      <c r="B15" s="7" t="str">
        <f>Обработка!$C$64</f>
        <v>Г 1800</v>
      </c>
      <c r="C15" s="7">
        <f>Обработка!$E$64</f>
        <v>0</v>
      </c>
      <c r="D15" s="7">
        <f>Обработка!$F$64</f>
        <v>0</v>
      </c>
      <c r="E15" s="7">
        <f>Обработка!$H$64</f>
        <v>11</v>
      </c>
      <c r="F15" s="8">
        <f>(C15+D15)*INDEX(Настройки!$B$10:$B$16,MATCH($B15,Настройки!$A$10:$A$16,0))</f>
        <v>0</v>
      </c>
      <c r="G15" s="8">
        <f>E15*INDEX(Настройки!$C$10:$C$16,MATCH($B15,Настройки!$A$10:$A$16,0))</f>
        <v>110</v>
      </c>
      <c r="H15" s="8">
        <f>E15*INDEX(Настройки!$D$10:$D$16,MATCH($B15,Настройки!$A$10:$A$16,0))</f>
        <v>330</v>
      </c>
      <c r="I15" s="8">
        <f>E15*INDEX(Настройки!$E$10:$E$16,MATCH($B15,Настройки!$A$10:$A$16,0))</f>
        <v>165</v>
      </c>
      <c r="J15" s="8">
        <f t="shared" si="0"/>
        <v>605</v>
      </c>
    </row>
    <row r="16" spans="1:10" x14ac:dyDescent="0.3">
      <c r="A16" s="3">
        <f>Обработка!$A$65</f>
        <v>46280</v>
      </c>
      <c r="B16" s="4" t="str">
        <f>Обработка!$C$65</f>
        <v>Г 800</v>
      </c>
      <c r="C16" s="4">
        <f>Обработка!$E$65</f>
        <v>0</v>
      </c>
      <c r="D16" s="4">
        <f>Обработка!$F$65</f>
        <v>0</v>
      </c>
      <c r="E16" s="4">
        <f>Обработка!$H$65</f>
        <v>7</v>
      </c>
      <c r="F16" s="9">
        <f>(C16+D16)*INDEX(Настройки!$B$10:$B$16,MATCH($B16,Настройки!$A$10:$A$16,0))</f>
        <v>0</v>
      </c>
      <c r="G16" s="9">
        <f>E16*INDEX(Настройки!$C$10:$C$16,MATCH($B16,Настройки!$A$10:$A$16,0))</f>
        <v>70</v>
      </c>
      <c r="H16" s="9">
        <f>E16*INDEX(Настройки!$D$10:$D$16,MATCH($B16,Настройки!$A$10:$A$16,0))</f>
        <v>210</v>
      </c>
      <c r="I16" s="9">
        <f>E16*INDEX(Настройки!$E$10:$E$16,MATCH($B16,Настройки!$A$10:$A$16,0))</f>
        <v>105</v>
      </c>
      <c r="J16" s="9">
        <f t="shared" si="0"/>
        <v>385</v>
      </c>
    </row>
    <row r="17" spans="1:10" x14ac:dyDescent="0.3">
      <c r="A17" s="6">
        <f>Обработка!$A$66</f>
        <v>46280</v>
      </c>
      <c r="B17" s="7" t="str">
        <f>Обработка!$C$66</f>
        <v>Ми-К</v>
      </c>
      <c r="C17" s="7">
        <f>Обработка!$E$66</f>
        <v>20</v>
      </c>
      <c r="D17" s="7">
        <f>Обработка!$F$66</f>
        <v>0</v>
      </c>
      <c r="E17" s="7">
        <f>Обработка!$H$66</f>
        <v>4</v>
      </c>
      <c r="F17" s="8">
        <f>(C17+D17)*INDEX(Настройки!$B$10:$B$16,MATCH($B17,Настройки!$A$10:$A$16,0))</f>
        <v>200</v>
      </c>
      <c r="G17" s="8">
        <f>E17*INDEX(Настройки!$C$10:$C$16,MATCH($B17,Настройки!$A$10:$A$16,0))</f>
        <v>0</v>
      </c>
      <c r="H17" s="8">
        <f>E17*INDEX(Настройки!$D$10:$D$16,MATCH($B17,Настройки!$A$10:$A$16,0))</f>
        <v>80</v>
      </c>
      <c r="I17" s="8">
        <f>E17*INDEX(Настройки!$E$10:$E$16,MATCH($B17,Настройки!$A$10:$A$16,0))</f>
        <v>40</v>
      </c>
      <c r="J17" s="8">
        <f t="shared" si="0"/>
        <v>320</v>
      </c>
    </row>
    <row r="18" spans="1:10" x14ac:dyDescent="0.3">
      <c r="A18" s="3">
        <f>Обработка!$A$67</f>
        <v>46280</v>
      </c>
      <c r="B18" s="4" t="str">
        <f>Обработка!$C$67</f>
        <v>Ми-П</v>
      </c>
      <c r="C18" s="4">
        <f>Обработка!$E$67</f>
        <v>0</v>
      </c>
      <c r="D18" s="4">
        <f>Обработка!$F$67</f>
        <v>0</v>
      </c>
      <c r="E18" s="4">
        <f>Обработка!$H$67</f>
        <v>1</v>
      </c>
      <c r="F18" s="9">
        <f>(C18+D18)*INDEX(Настройки!$B$10:$B$16,MATCH($B18,Настройки!$A$10:$A$16,0))</f>
        <v>0</v>
      </c>
      <c r="G18" s="9">
        <f>E18*INDEX(Настройки!$C$10:$C$16,MATCH($B18,Настройки!$A$10:$A$16,0))</f>
        <v>0</v>
      </c>
      <c r="H18" s="9">
        <f>E18*INDEX(Настройки!$D$10:$D$16,MATCH($B18,Настройки!$A$10:$A$16,0))</f>
        <v>20</v>
      </c>
      <c r="I18" s="9">
        <f>E18*INDEX(Настройки!$E$10:$E$16,MATCH($B18,Настройки!$A$10:$A$16,0))</f>
        <v>10</v>
      </c>
      <c r="J18" s="9">
        <f t="shared" si="0"/>
        <v>30</v>
      </c>
    </row>
    <row r="19" spans="1:10" x14ac:dyDescent="0.3">
      <c r="A19" s="6">
        <f>Обработка!$A$68</f>
        <v>46281</v>
      </c>
      <c r="B19" s="7" t="str">
        <f>Обработка!$C$68</f>
        <v>АК-10</v>
      </c>
      <c r="C19" s="7">
        <f>Обработка!$E$68</f>
        <v>0</v>
      </c>
      <c r="D19" s="7">
        <f>Обработка!$F$68</f>
        <v>0</v>
      </c>
      <c r="E19" s="7">
        <f>Обработка!$H$68</f>
        <v>1</v>
      </c>
      <c r="F19" s="8">
        <f>(C19+D19)*INDEX(Настройки!$B$10:$B$16,MATCH($B19,Настройки!$A$10:$A$16,0))</f>
        <v>0</v>
      </c>
      <c r="G19" s="8">
        <f>E19*INDEX(Настройки!$C$10:$C$16,MATCH($B19,Настройки!$A$10:$A$16,0))</f>
        <v>10</v>
      </c>
      <c r="H19" s="8">
        <f>E19*INDEX(Настройки!$D$10:$D$16,MATCH($B19,Настройки!$A$10:$A$16,0))</f>
        <v>20</v>
      </c>
      <c r="I19" s="8">
        <f>E19*INDEX(Настройки!$E$10:$E$16,MATCH($B19,Настройки!$A$10:$A$16,0))</f>
        <v>10</v>
      </c>
      <c r="J19" s="8">
        <f t="shared" si="0"/>
        <v>40</v>
      </c>
    </row>
    <row r="20" spans="1:10" x14ac:dyDescent="0.3">
      <c r="A20" s="3">
        <f>Обработка!$A$69</f>
        <v>46281</v>
      </c>
      <c r="B20" s="4" t="str">
        <f>Обработка!$C$69</f>
        <v>АК-15</v>
      </c>
      <c r="C20" s="4">
        <f>Обработка!$E$69</f>
        <v>0</v>
      </c>
      <c r="D20" s="4">
        <f>Обработка!$F$69</f>
        <v>0</v>
      </c>
      <c r="E20" s="4">
        <f>Обработка!$H$69</f>
        <v>3</v>
      </c>
      <c r="F20" s="9">
        <f>(C20+D20)*INDEX(Настройки!$B$10:$B$16,MATCH($B20,Настройки!$A$10:$A$16,0))</f>
        <v>0</v>
      </c>
      <c r="G20" s="9">
        <f>E20*INDEX(Настройки!$C$10:$C$16,MATCH($B20,Настройки!$A$10:$A$16,0))</f>
        <v>30</v>
      </c>
      <c r="H20" s="9">
        <f>E20*INDEX(Настройки!$D$10:$D$16,MATCH($B20,Настройки!$A$10:$A$16,0))</f>
        <v>60</v>
      </c>
      <c r="I20" s="9">
        <f>E20*INDEX(Настройки!$E$10:$E$16,MATCH($B20,Настройки!$A$10:$A$16,0))</f>
        <v>30</v>
      </c>
      <c r="J20" s="9">
        <f t="shared" si="0"/>
        <v>120</v>
      </c>
    </row>
    <row r="21" spans="1:10" x14ac:dyDescent="0.3">
      <c r="A21" s="6">
        <f>Обработка!$A$70</f>
        <v>46281</v>
      </c>
      <c r="B21" s="7" t="str">
        <f>Обработка!$C$70</f>
        <v>Г 3500</v>
      </c>
      <c r="C21" s="7">
        <f>Обработка!$E$70</f>
        <v>0</v>
      </c>
      <c r="D21" s="7">
        <f>Обработка!$F$70</f>
        <v>0</v>
      </c>
      <c r="E21" s="7">
        <f>Обработка!$H$70</f>
        <v>0</v>
      </c>
      <c r="F21" s="8">
        <f>(C21+D21)*INDEX(Настройки!$B$10:$B$16,MATCH($B21,Настройки!$A$10:$A$16,0))</f>
        <v>0</v>
      </c>
      <c r="G21" s="8">
        <f>E21*INDEX(Настройки!$C$10:$C$16,MATCH($B21,Настройки!$A$10:$A$16,0))</f>
        <v>0</v>
      </c>
      <c r="H21" s="8">
        <f>E21*INDEX(Настройки!$D$10:$D$16,MATCH($B21,Настройки!$A$10:$A$16,0))</f>
        <v>0</v>
      </c>
      <c r="I21" s="8">
        <f>E21*INDEX(Настройки!$E$10:$E$16,MATCH($B21,Настройки!$A$10:$A$16,0))</f>
        <v>0</v>
      </c>
      <c r="J21" s="8">
        <f t="shared" si="0"/>
        <v>0</v>
      </c>
    </row>
    <row r="22" spans="1:10" x14ac:dyDescent="0.3">
      <c r="A22" s="3">
        <f>Обработка!$A$71</f>
        <v>46281</v>
      </c>
      <c r="B22" s="4" t="str">
        <f>Обработка!$C$71</f>
        <v>Г 1800</v>
      </c>
      <c r="C22" s="4">
        <f>Обработка!$E$71</f>
        <v>0</v>
      </c>
      <c r="D22" s="4">
        <f>Обработка!$F$71</f>
        <v>0</v>
      </c>
      <c r="E22" s="4">
        <f>Обработка!$H$71</f>
        <v>13</v>
      </c>
      <c r="F22" s="9">
        <f>(C22+D22)*INDEX(Настройки!$B$10:$B$16,MATCH($B22,Настройки!$A$10:$A$16,0))</f>
        <v>0</v>
      </c>
      <c r="G22" s="9">
        <f>E22*INDEX(Настройки!$C$10:$C$16,MATCH($B22,Настройки!$A$10:$A$16,0))</f>
        <v>130</v>
      </c>
      <c r="H22" s="9">
        <f>E22*INDEX(Настройки!$D$10:$D$16,MATCH($B22,Настройки!$A$10:$A$16,0))</f>
        <v>390</v>
      </c>
      <c r="I22" s="9">
        <f>E22*INDEX(Настройки!$E$10:$E$16,MATCH($B22,Настройки!$A$10:$A$16,0))</f>
        <v>195</v>
      </c>
      <c r="J22" s="9">
        <f t="shared" si="0"/>
        <v>715</v>
      </c>
    </row>
    <row r="23" spans="1:10" x14ac:dyDescent="0.3">
      <c r="A23" s="6">
        <f>Обработка!$A$72</f>
        <v>46281</v>
      </c>
      <c r="B23" s="7" t="str">
        <f>Обработка!$C$72</f>
        <v>Г 800</v>
      </c>
      <c r="C23" s="7">
        <f>Обработка!$E$72</f>
        <v>0</v>
      </c>
      <c r="D23" s="7">
        <f>Обработка!$F$72</f>
        <v>0</v>
      </c>
      <c r="E23" s="7">
        <f>Обработка!$H$72</f>
        <v>12</v>
      </c>
      <c r="F23" s="8">
        <f>(C23+D23)*INDEX(Настройки!$B$10:$B$16,MATCH($B23,Настройки!$A$10:$A$16,0))</f>
        <v>0</v>
      </c>
      <c r="G23" s="8">
        <f>E23*INDEX(Настройки!$C$10:$C$16,MATCH($B23,Настройки!$A$10:$A$16,0))</f>
        <v>120</v>
      </c>
      <c r="H23" s="8">
        <f>E23*INDEX(Настройки!$D$10:$D$16,MATCH($B23,Настройки!$A$10:$A$16,0))</f>
        <v>360</v>
      </c>
      <c r="I23" s="8">
        <f>E23*INDEX(Настройки!$E$10:$E$16,MATCH($B23,Настройки!$A$10:$A$16,0))</f>
        <v>180</v>
      </c>
      <c r="J23" s="8">
        <f t="shared" si="0"/>
        <v>660</v>
      </c>
    </row>
    <row r="24" spans="1:10" x14ac:dyDescent="0.3">
      <c r="A24" s="3">
        <f>Обработка!$A$73</f>
        <v>46281</v>
      </c>
      <c r="B24" s="4" t="str">
        <f>Обработка!$C$73</f>
        <v>Ми-К</v>
      </c>
      <c r="C24" s="4">
        <f>Обработка!$E$73</f>
        <v>0</v>
      </c>
      <c r="D24" s="4">
        <f>Обработка!$F$73</f>
        <v>0</v>
      </c>
      <c r="E24" s="4">
        <f>Обработка!$H$73</f>
        <v>0</v>
      </c>
      <c r="F24" s="9">
        <f>(C24+D24)*INDEX(Настройки!$B$10:$B$16,MATCH($B24,Настройки!$A$10:$A$16,0))</f>
        <v>0</v>
      </c>
      <c r="G24" s="9">
        <f>E24*INDEX(Настройки!$C$10:$C$16,MATCH($B24,Настройки!$A$10:$A$16,0))</f>
        <v>0</v>
      </c>
      <c r="H24" s="9">
        <f>E24*INDEX(Настройки!$D$10:$D$16,MATCH($B24,Настройки!$A$10:$A$16,0))</f>
        <v>0</v>
      </c>
      <c r="I24" s="9">
        <f>E24*INDEX(Настройки!$E$10:$E$16,MATCH($B24,Настройки!$A$10:$A$16,0))</f>
        <v>0</v>
      </c>
      <c r="J24" s="9">
        <f t="shared" si="0"/>
        <v>0</v>
      </c>
    </row>
    <row r="25" spans="1:10" x14ac:dyDescent="0.3">
      <c r="A25" s="6">
        <f>Обработка!$A$74</f>
        <v>46281</v>
      </c>
      <c r="B25" s="7" t="str">
        <f>Обработка!$C$74</f>
        <v>Ми-П</v>
      </c>
      <c r="C25" s="7">
        <f>Обработка!$E$74</f>
        <v>0</v>
      </c>
      <c r="D25" s="7">
        <f>Обработка!$F$74</f>
        <v>0</v>
      </c>
      <c r="E25" s="7">
        <f>Обработка!$H$74</f>
        <v>1</v>
      </c>
      <c r="F25" s="8">
        <f>(C25+D25)*INDEX(Настройки!$B$10:$B$16,MATCH($B25,Настройки!$A$10:$A$16,0))</f>
        <v>0</v>
      </c>
      <c r="G25" s="8">
        <f>E25*INDEX(Настройки!$C$10:$C$16,MATCH($B25,Настройки!$A$10:$A$16,0))</f>
        <v>0</v>
      </c>
      <c r="H25" s="8">
        <f>E25*INDEX(Настройки!$D$10:$D$16,MATCH($B25,Настройки!$A$10:$A$16,0))</f>
        <v>20</v>
      </c>
      <c r="I25" s="8">
        <f>E25*INDEX(Настройки!$E$10:$E$16,MATCH($B25,Настройки!$A$10:$A$16,0))</f>
        <v>10</v>
      </c>
      <c r="J25" s="8">
        <f t="shared" si="0"/>
        <v>30</v>
      </c>
    </row>
    <row r="26" spans="1:10" x14ac:dyDescent="0.3">
      <c r="A26" s="3">
        <f>Обработка!$A$75</f>
        <v>46282</v>
      </c>
      <c r="B26" s="4" t="str">
        <f>Обработка!$C$75</f>
        <v>АК-10</v>
      </c>
      <c r="C26" s="4">
        <f>Обработка!$E$75</f>
        <v>0</v>
      </c>
      <c r="D26" s="4">
        <f>Обработка!$F$75</f>
        <v>0</v>
      </c>
      <c r="E26" s="4">
        <f>Обработка!$H$75</f>
        <v>1</v>
      </c>
      <c r="F26" s="9">
        <f>(C26+D26)*INDEX(Настройки!$B$10:$B$16,MATCH($B26,Настройки!$A$10:$A$16,0))</f>
        <v>0</v>
      </c>
      <c r="G26" s="9">
        <f>E26*INDEX(Настройки!$C$10:$C$16,MATCH($B26,Настройки!$A$10:$A$16,0))</f>
        <v>10</v>
      </c>
      <c r="H26" s="9">
        <f>E26*INDEX(Настройки!$D$10:$D$16,MATCH($B26,Настройки!$A$10:$A$16,0))</f>
        <v>20</v>
      </c>
      <c r="I26" s="9">
        <f>E26*INDEX(Настройки!$E$10:$E$16,MATCH($B26,Настройки!$A$10:$A$16,0))</f>
        <v>10</v>
      </c>
      <c r="J26" s="9">
        <f t="shared" si="0"/>
        <v>40</v>
      </c>
    </row>
    <row r="27" spans="1:10" x14ac:dyDescent="0.3">
      <c r="A27" s="6">
        <f>Обработка!$A$76</f>
        <v>46282</v>
      </c>
      <c r="B27" s="7" t="str">
        <f>Обработка!$C$76</f>
        <v>АК-15</v>
      </c>
      <c r="C27" s="7">
        <f>Обработка!$E$76</f>
        <v>0</v>
      </c>
      <c r="D27" s="7">
        <f>Обработка!$F$76</f>
        <v>0</v>
      </c>
      <c r="E27" s="7">
        <f>Обработка!$H$76</f>
        <v>3</v>
      </c>
      <c r="F27" s="8">
        <f>(C27+D27)*INDEX(Настройки!$B$10:$B$16,MATCH($B27,Настройки!$A$10:$A$16,0))</f>
        <v>0</v>
      </c>
      <c r="G27" s="8">
        <f>E27*INDEX(Настройки!$C$10:$C$16,MATCH($B27,Настройки!$A$10:$A$16,0))</f>
        <v>30</v>
      </c>
      <c r="H27" s="8">
        <f>E27*INDEX(Настройки!$D$10:$D$16,MATCH($B27,Настройки!$A$10:$A$16,0))</f>
        <v>60</v>
      </c>
      <c r="I27" s="8">
        <f>E27*INDEX(Настройки!$E$10:$E$16,MATCH($B27,Настройки!$A$10:$A$16,0))</f>
        <v>30</v>
      </c>
      <c r="J27" s="8">
        <f t="shared" si="0"/>
        <v>120</v>
      </c>
    </row>
    <row r="28" spans="1:10" x14ac:dyDescent="0.3">
      <c r="A28" s="3">
        <f>Обработка!$A$77</f>
        <v>46282</v>
      </c>
      <c r="B28" s="4" t="str">
        <f>Обработка!$C$77</f>
        <v>Г 3500</v>
      </c>
      <c r="C28" s="4">
        <f>Обработка!$E$77</f>
        <v>0</v>
      </c>
      <c r="D28" s="4">
        <f>Обработка!$F$77</f>
        <v>0</v>
      </c>
      <c r="E28" s="4">
        <f>Обработка!$H$77</f>
        <v>0</v>
      </c>
      <c r="F28" s="9">
        <f>(C28+D28)*INDEX(Настройки!$B$10:$B$16,MATCH($B28,Настройки!$A$10:$A$16,0))</f>
        <v>0</v>
      </c>
      <c r="G28" s="9">
        <f>E28*INDEX(Настройки!$C$10:$C$16,MATCH($B28,Настройки!$A$10:$A$16,0))</f>
        <v>0</v>
      </c>
      <c r="H28" s="9">
        <f>E28*INDEX(Настройки!$D$10:$D$16,MATCH($B28,Настройки!$A$10:$A$16,0))</f>
        <v>0</v>
      </c>
      <c r="I28" s="9">
        <f>E28*INDEX(Настройки!$E$10:$E$16,MATCH($B28,Настройки!$A$10:$A$16,0))</f>
        <v>0</v>
      </c>
      <c r="J28" s="9">
        <f t="shared" si="0"/>
        <v>0</v>
      </c>
    </row>
    <row r="29" spans="1:10" x14ac:dyDescent="0.3">
      <c r="A29" s="6">
        <f>Обработка!$A$78</f>
        <v>46282</v>
      </c>
      <c r="B29" s="7" t="str">
        <f>Обработка!$C$78</f>
        <v>Г 1800</v>
      </c>
      <c r="C29" s="7">
        <f>Обработка!$E$78</f>
        <v>0</v>
      </c>
      <c r="D29" s="7">
        <f>Обработка!$F$78</f>
        <v>0</v>
      </c>
      <c r="E29" s="7">
        <f>Обработка!$H$78</f>
        <v>13</v>
      </c>
      <c r="F29" s="8">
        <f>(C29+D29)*INDEX(Настройки!$B$10:$B$16,MATCH($B29,Настройки!$A$10:$A$16,0))</f>
        <v>0</v>
      </c>
      <c r="G29" s="8">
        <f>E29*INDEX(Настройки!$C$10:$C$16,MATCH($B29,Настройки!$A$10:$A$16,0))</f>
        <v>130</v>
      </c>
      <c r="H29" s="8">
        <f>E29*INDEX(Настройки!$D$10:$D$16,MATCH($B29,Настройки!$A$10:$A$16,0))</f>
        <v>390</v>
      </c>
      <c r="I29" s="8">
        <f>E29*INDEX(Настройки!$E$10:$E$16,MATCH($B29,Настройки!$A$10:$A$16,0))</f>
        <v>195</v>
      </c>
      <c r="J29" s="8">
        <f t="shared" si="0"/>
        <v>715</v>
      </c>
    </row>
    <row r="30" spans="1:10" x14ac:dyDescent="0.3">
      <c r="A30" s="3">
        <f>Обработка!$A$79</f>
        <v>46282</v>
      </c>
      <c r="B30" s="4" t="str">
        <f>Обработка!$C$79</f>
        <v>Г 800</v>
      </c>
      <c r="C30" s="4">
        <f>Обработка!$E$79</f>
        <v>0</v>
      </c>
      <c r="D30" s="4">
        <f>Обработка!$F$79</f>
        <v>0</v>
      </c>
      <c r="E30" s="4">
        <f>Обработка!$H$79</f>
        <v>3</v>
      </c>
      <c r="F30" s="9">
        <f>(C30+D30)*INDEX(Настройки!$B$10:$B$16,MATCH($B30,Настройки!$A$10:$A$16,0))</f>
        <v>0</v>
      </c>
      <c r="G30" s="9">
        <f>E30*INDEX(Настройки!$C$10:$C$16,MATCH($B30,Настройки!$A$10:$A$16,0))</f>
        <v>30</v>
      </c>
      <c r="H30" s="9">
        <f>E30*INDEX(Настройки!$D$10:$D$16,MATCH($B30,Настройки!$A$10:$A$16,0))</f>
        <v>90</v>
      </c>
      <c r="I30" s="9">
        <f>E30*INDEX(Настройки!$E$10:$E$16,MATCH($B30,Настройки!$A$10:$A$16,0))</f>
        <v>45</v>
      </c>
      <c r="J30" s="9">
        <f t="shared" si="0"/>
        <v>165</v>
      </c>
    </row>
    <row r="31" spans="1:10" x14ac:dyDescent="0.3">
      <c r="A31" s="6">
        <f>Обработка!$A$80</f>
        <v>46282</v>
      </c>
      <c r="B31" s="7" t="str">
        <f>Обработка!$C$80</f>
        <v>Ми-К</v>
      </c>
      <c r="C31" s="7">
        <f>Обработка!$E$80</f>
        <v>0</v>
      </c>
      <c r="D31" s="7">
        <f>Обработка!$F$80</f>
        <v>0</v>
      </c>
      <c r="E31" s="7">
        <f>Обработка!$H$80</f>
        <v>1</v>
      </c>
      <c r="F31" s="8">
        <f>(C31+D31)*INDEX(Настройки!$B$10:$B$16,MATCH($B31,Настройки!$A$10:$A$16,0))</f>
        <v>0</v>
      </c>
      <c r="G31" s="8">
        <f>E31*INDEX(Настройки!$C$10:$C$16,MATCH($B31,Настройки!$A$10:$A$16,0))</f>
        <v>0</v>
      </c>
      <c r="H31" s="8">
        <f>E31*INDEX(Настройки!$D$10:$D$16,MATCH($B31,Настройки!$A$10:$A$16,0))</f>
        <v>20</v>
      </c>
      <c r="I31" s="8">
        <f>E31*INDEX(Настройки!$E$10:$E$16,MATCH($B31,Настройки!$A$10:$A$16,0))</f>
        <v>10</v>
      </c>
      <c r="J31" s="8">
        <f t="shared" si="0"/>
        <v>30</v>
      </c>
    </row>
    <row r="32" spans="1:10" x14ac:dyDescent="0.3">
      <c r="A32" s="3">
        <f>Обработка!$A$81</f>
        <v>46282</v>
      </c>
      <c r="B32" s="4" t="str">
        <f>Обработка!$C$81</f>
        <v>Ми-П</v>
      </c>
      <c r="C32" s="4">
        <f>Обработка!$E$81</f>
        <v>0</v>
      </c>
      <c r="D32" s="4">
        <f>Обработка!$F$81</f>
        <v>0</v>
      </c>
      <c r="E32" s="4">
        <f>Обработка!$H$81</f>
        <v>2</v>
      </c>
      <c r="F32" s="9">
        <f>(C32+D32)*INDEX(Настройки!$B$10:$B$16,MATCH($B32,Настройки!$A$10:$A$16,0))</f>
        <v>0</v>
      </c>
      <c r="G32" s="9">
        <f>E32*INDEX(Настройки!$C$10:$C$16,MATCH($B32,Настройки!$A$10:$A$16,0))</f>
        <v>0</v>
      </c>
      <c r="H32" s="9">
        <f>E32*INDEX(Настройки!$D$10:$D$16,MATCH($B32,Настройки!$A$10:$A$16,0))</f>
        <v>40</v>
      </c>
      <c r="I32" s="9">
        <f>E32*INDEX(Настройки!$E$10:$E$16,MATCH($B32,Настройки!$A$10:$A$16,0))</f>
        <v>20</v>
      </c>
      <c r="J32" s="9">
        <f t="shared" si="0"/>
        <v>60</v>
      </c>
    </row>
    <row r="33" spans="1:10" x14ac:dyDescent="0.3">
      <c r="A33" s="6">
        <f>Обработка!$A$82</f>
        <v>46283</v>
      </c>
      <c r="B33" s="7" t="str">
        <f>Обработка!$C$82</f>
        <v>АК-10</v>
      </c>
      <c r="C33" s="7">
        <f>Обработка!$E$82</f>
        <v>0</v>
      </c>
      <c r="D33" s="7">
        <f>Обработка!$F$82</f>
        <v>0</v>
      </c>
      <c r="E33" s="7">
        <f>Обработка!$H$82</f>
        <v>1</v>
      </c>
      <c r="F33" s="8">
        <f>(C33+D33)*INDEX(Настройки!$B$10:$B$16,MATCH($B33,Настройки!$A$10:$A$16,0))</f>
        <v>0</v>
      </c>
      <c r="G33" s="8">
        <f>E33*INDEX(Настройки!$C$10:$C$16,MATCH($B33,Настройки!$A$10:$A$16,0))</f>
        <v>10</v>
      </c>
      <c r="H33" s="8">
        <f>E33*INDEX(Настройки!$D$10:$D$16,MATCH($B33,Настройки!$A$10:$A$16,0))</f>
        <v>20</v>
      </c>
      <c r="I33" s="8">
        <f>E33*INDEX(Настройки!$E$10:$E$16,MATCH($B33,Настройки!$A$10:$A$16,0))</f>
        <v>10</v>
      </c>
      <c r="J33" s="8">
        <f t="shared" si="0"/>
        <v>40</v>
      </c>
    </row>
    <row r="34" spans="1:10" x14ac:dyDescent="0.3">
      <c r="A34" s="3">
        <f>Обработка!$A$83</f>
        <v>46283</v>
      </c>
      <c r="B34" s="4" t="str">
        <f>Обработка!$C$83</f>
        <v>АК-15</v>
      </c>
      <c r="C34" s="4">
        <f>Обработка!$E$83</f>
        <v>0</v>
      </c>
      <c r="D34" s="4">
        <f>Обработка!$F$83</f>
        <v>0</v>
      </c>
      <c r="E34" s="4">
        <f>Обработка!$H$83</f>
        <v>1</v>
      </c>
      <c r="F34" s="9">
        <f>(C34+D34)*INDEX(Настройки!$B$10:$B$16,MATCH($B34,Настройки!$A$10:$A$16,0))</f>
        <v>0</v>
      </c>
      <c r="G34" s="9">
        <f>E34*INDEX(Настройки!$C$10:$C$16,MATCH($B34,Настройки!$A$10:$A$16,0))</f>
        <v>10</v>
      </c>
      <c r="H34" s="9">
        <f>E34*INDEX(Настройки!$D$10:$D$16,MATCH($B34,Настройки!$A$10:$A$16,0))</f>
        <v>20</v>
      </c>
      <c r="I34" s="9">
        <f>E34*INDEX(Настройки!$E$10:$E$16,MATCH($B34,Настройки!$A$10:$A$16,0))</f>
        <v>10</v>
      </c>
      <c r="J34" s="9">
        <f t="shared" si="0"/>
        <v>40</v>
      </c>
    </row>
    <row r="35" spans="1:10" x14ac:dyDescent="0.3">
      <c r="A35" s="6">
        <f>Обработка!$A$84</f>
        <v>46283</v>
      </c>
      <c r="B35" s="7" t="str">
        <f>Обработка!$C$84</f>
        <v>Г 3500</v>
      </c>
      <c r="C35" s="7">
        <f>Обработка!$E$84</f>
        <v>0</v>
      </c>
      <c r="D35" s="7">
        <f>Обработка!$F$84</f>
        <v>0</v>
      </c>
      <c r="E35" s="7">
        <f>Обработка!$H$84</f>
        <v>1</v>
      </c>
      <c r="F35" s="8">
        <f>(C35+D35)*INDEX(Настройки!$B$10:$B$16,MATCH($B35,Настройки!$A$10:$A$16,0))</f>
        <v>0</v>
      </c>
      <c r="G35" s="8">
        <f>E35*INDEX(Настройки!$C$10:$C$16,MATCH($B35,Настройки!$A$10:$A$16,0))</f>
        <v>15</v>
      </c>
      <c r="H35" s="8">
        <f>E35*INDEX(Настройки!$D$10:$D$16,MATCH($B35,Настройки!$A$10:$A$16,0))</f>
        <v>35</v>
      </c>
      <c r="I35" s="8">
        <f>E35*INDEX(Настройки!$E$10:$E$16,MATCH($B35,Настройки!$A$10:$A$16,0))</f>
        <v>25</v>
      </c>
      <c r="J35" s="8">
        <f t="shared" si="0"/>
        <v>75</v>
      </c>
    </row>
    <row r="36" spans="1:10" x14ac:dyDescent="0.3">
      <c r="A36" s="3">
        <f>Обработка!$A$85</f>
        <v>46283</v>
      </c>
      <c r="B36" s="4" t="str">
        <f>Обработка!$C$85</f>
        <v>Г 1800</v>
      </c>
      <c r="C36" s="4">
        <f>Обработка!$E$85</f>
        <v>0</v>
      </c>
      <c r="D36" s="4">
        <f>Обработка!$F$85</f>
        <v>0</v>
      </c>
      <c r="E36" s="4">
        <f>Обработка!$H$85</f>
        <v>13</v>
      </c>
      <c r="F36" s="9">
        <f>(C36+D36)*INDEX(Настройки!$B$10:$B$16,MATCH($B36,Настройки!$A$10:$A$16,0))</f>
        <v>0</v>
      </c>
      <c r="G36" s="9">
        <f>E36*INDEX(Настройки!$C$10:$C$16,MATCH($B36,Настройки!$A$10:$A$16,0))</f>
        <v>130</v>
      </c>
      <c r="H36" s="9">
        <f>E36*INDEX(Настройки!$D$10:$D$16,MATCH($B36,Настройки!$A$10:$A$16,0))</f>
        <v>390</v>
      </c>
      <c r="I36" s="9">
        <f>E36*INDEX(Настройки!$E$10:$E$16,MATCH($B36,Настройки!$A$10:$A$16,0))</f>
        <v>195</v>
      </c>
      <c r="J36" s="9">
        <f t="shared" si="0"/>
        <v>715</v>
      </c>
    </row>
    <row r="37" spans="1:10" x14ac:dyDescent="0.3">
      <c r="A37" s="6">
        <f>Обработка!$A$86</f>
        <v>46283</v>
      </c>
      <c r="B37" s="7" t="str">
        <f>Обработка!$C$86</f>
        <v>Г 800</v>
      </c>
      <c r="C37" s="7">
        <f>Обработка!$E$86</f>
        <v>0</v>
      </c>
      <c r="D37" s="7">
        <f>Обработка!$F$86</f>
        <v>0</v>
      </c>
      <c r="E37" s="7">
        <f>Обработка!$H$86</f>
        <v>4</v>
      </c>
      <c r="F37" s="8">
        <f>(C37+D37)*INDEX(Настройки!$B$10:$B$16,MATCH($B37,Настройки!$A$10:$A$16,0))</f>
        <v>0</v>
      </c>
      <c r="G37" s="8">
        <f>E37*INDEX(Настройки!$C$10:$C$16,MATCH($B37,Настройки!$A$10:$A$16,0))</f>
        <v>40</v>
      </c>
      <c r="H37" s="8">
        <f>E37*INDEX(Настройки!$D$10:$D$16,MATCH($B37,Настройки!$A$10:$A$16,0))</f>
        <v>120</v>
      </c>
      <c r="I37" s="8">
        <f>E37*INDEX(Настройки!$E$10:$E$16,MATCH($B37,Настройки!$A$10:$A$16,0))</f>
        <v>60</v>
      </c>
      <c r="J37" s="8">
        <f t="shared" ref="J37:J68" si="1">SUM(F37:I37)</f>
        <v>220</v>
      </c>
    </row>
    <row r="38" spans="1:10" x14ac:dyDescent="0.3">
      <c r="A38" s="3">
        <f>Обработка!$A$87</f>
        <v>46283</v>
      </c>
      <c r="B38" s="4" t="str">
        <f>Обработка!$C$87</f>
        <v>Ми-К</v>
      </c>
      <c r="C38" s="4">
        <f>Обработка!$E$87</f>
        <v>0</v>
      </c>
      <c r="D38" s="4">
        <f>Обработка!$F$87</f>
        <v>0</v>
      </c>
      <c r="E38" s="4">
        <f>Обработка!$H$87</f>
        <v>0</v>
      </c>
      <c r="F38" s="9">
        <f>(C38+D38)*INDEX(Настройки!$B$10:$B$16,MATCH($B38,Настройки!$A$10:$A$16,0))</f>
        <v>0</v>
      </c>
      <c r="G38" s="9">
        <f>E38*INDEX(Настройки!$C$10:$C$16,MATCH($B38,Настройки!$A$10:$A$16,0))</f>
        <v>0</v>
      </c>
      <c r="H38" s="9">
        <f>E38*INDEX(Настройки!$D$10:$D$16,MATCH($B38,Настройки!$A$10:$A$16,0))</f>
        <v>0</v>
      </c>
      <c r="I38" s="9">
        <f>E38*INDEX(Настройки!$E$10:$E$16,MATCH($B38,Настройки!$A$10:$A$16,0))</f>
        <v>0</v>
      </c>
      <c r="J38" s="9">
        <f t="shared" si="1"/>
        <v>0</v>
      </c>
    </row>
    <row r="39" spans="1:10" x14ac:dyDescent="0.3">
      <c r="A39" s="6">
        <f>Обработка!$A$88</f>
        <v>46283</v>
      </c>
      <c r="B39" s="7" t="str">
        <f>Обработка!$C$88</f>
        <v>Ми-П</v>
      </c>
      <c r="C39" s="7">
        <f>Обработка!$E$88</f>
        <v>0</v>
      </c>
      <c r="D39" s="7">
        <f>Обработка!$F$88</f>
        <v>0</v>
      </c>
      <c r="E39" s="7">
        <f>Обработка!$H$88</f>
        <v>0</v>
      </c>
      <c r="F39" s="8">
        <f>(C39+D39)*INDEX(Настройки!$B$10:$B$16,MATCH($B39,Настройки!$A$10:$A$16,0))</f>
        <v>0</v>
      </c>
      <c r="G39" s="8">
        <f>E39*INDEX(Настройки!$C$10:$C$16,MATCH($B39,Настройки!$A$10:$A$16,0))</f>
        <v>0</v>
      </c>
      <c r="H39" s="8">
        <f>E39*INDEX(Настройки!$D$10:$D$16,MATCH($B39,Настройки!$A$10:$A$16,0))</f>
        <v>0</v>
      </c>
      <c r="I39" s="8">
        <f>E39*INDEX(Настройки!$E$10:$E$16,MATCH($B39,Настройки!$A$10:$A$16,0))</f>
        <v>0</v>
      </c>
      <c r="J39" s="8">
        <f t="shared" si="1"/>
        <v>0</v>
      </c>
    </row>
    <row r="40" spans="1:10" x14ac:dyDescent="0.3">
      <c r="A40" s="3">
        <f>Обработка!$A$89</f>
        <v>46284</v>
      </c>
      <c r="B40" s="4" t="str">
        <f>Обработка!$C$89</f>
        <v>АК-10</v>
      </c>
      <c r="C40" s="4">
        <f>Обработка!$E$89</f>
        <v>0</v>
      </c>
      <c r="D40" s="4">
        <f>Обработка!$F$89</f>
        <v>0</v>
      </c>
      <c r="E40" s="4">
        <f>Обработка!$H$89</f>
        <v>0</v>
      </c>
      <c r="F40" s="9">
        <f>(C40+D40)*INDEX(Настройки!$B$10:$B$16,MATCH($B40,Настройки!$A$10:$A$16,0))</f>
        <v>0</v>
      </c>
      <c r="G40" s="9">
        <f>E40*INDEX(Настройки!$C$10:$C$16,MATCH($B40,Настройки!$A$10:$A$16,0))</f>
        <v>0</v>
      </c>
      <c r="H40" s="9">
        <f>E40*INDEX(Настройки!$D$10:$D$16,MATCH($B40,Настройки!$A$10:$A$16,0))</f>
        <v>0</v>
      </c>
      <c r="I40" s="9">
        <f>E40*INDEX(Настройки!$E$10:$E$16,MATCH($B40,Настройки!$A$10:$A$16,0))</f>
        <v>0</v>
      </c>
      <c r="J40" s="9">
        <f t="shared" si="1"/>
        <v>0</v>
      </c>
    </row>
    <row r="41" spans="1:10" x14ac:dyDescent="0.3">
      <c r="A41" s="6">
        <f>Обработка!$A$90</f>
        <v>46284</v>
      </c>
      <c r="B41" s="7" t="str">
        <f>Обработка!$C$90</f>
        <v>АК-15</v>
      </c>
      <c r="C41" s="7">
        <f>Обработка!$E$90</f>
        <v>0</v>
      </c>
      <c r="D41" s="7">
        <f>Обработка!$F$90</f>
        <v>0</v>
      </c>
      <c r="E41" s="7">
        <f>Обработка!$H$90</f>
        <v>0</v>
      </c>
      <c r="F41" s="8">
        <f>(C41+D41)*INDEX(Настройки!$B$10:$B$16,MATCH($B41,Настройки!$A$10:$A$16,0))</f>
        <v>0</v>
      </c>
      <c r="G41" s="8">
        <f>E41*INDEX(Настройки!$C$10:$C$16,MATCH($B41,Настройки!$A$10:$A$16,0))</f>
        <v>0</v>
      </c>
      <c r="H41" s="8">
        <f>E41*INDEX(Настройки!$D$10:$D$16,MATCH($B41,Настройки!$A$10:$A$16,0))</f>
        <v>0</v>
      </c>
      <c r="I41" s="8">
        <f>E41*INDEX(Настройки!$E$10:$E$16,MATCH($B41,Настройки!$A$10:$A$16,0))</f>
        <v>0</v>
      </c>
      <c r="J41" s="8">
        <f t="shared" si="1"/>
        <v>0</v>
      </c>
    </row>
    <row r="42" spans="1:10" x14ac:dyDescent="0.3">
      <c r="A42" s="3">
        <f>Обработка!$A$91</f>
        <v>46284</v>
      </c>
      <c r="B42" s="4" t="str">
        <f>Обработка!$C$91</f>
        <v>Г 3500</v>
      </c>
      <c r="C42" s="4">
        <f>Обработка!$E$91</f>
        <v>0</v>
      </c>
      <c r="D42" s="4">
        <f>Обработка!$F$91</f>
        <v>0</v>
      </c>
      <c r="E42" s="4">
        <f>Обработка!$H$91</f>
        <v>0</v>
      </c>
      <c r="F42" s="9">
        <f>(C42+D42)*INDEX(Настройки!$B$10:$B$16,MATCH($B42,Настройки!$A$10:$A$16,0))</f>
        <v>0</v>
      </c>
      <c r="G42" s="9">
        <f>E42*INDEX(Настройки!$C$10:$C$16,MATCH($B42,Настройки!$A$10:$A$16,0))</f>
        <v>0</v>
      </c>
      <c r="H42" s="9">
        <f>E42*INDEX(Настройки!$D$10:$D$16,MATCH($B42,Настройки!$A$10:$A$16,0))</f>
        <v>0</v>
      </c>
      <c r="I42" s="9">
        <f>E42*INDEX(Настройки!$E$10:$E$16,MATCH($B42,Настройки!$A$10:$A$16,0))</f>
        <v>0</v>
      </c>
      <c r="J42" s="9">
        <f t="shared" si="1"/>
        <v>0</v>
      </c>
    </row>
    <row r="43" spans="1:10" x14ac:dyDescent="0.3">
      <c r="A43" s="6">
        <f>Обработка!$A$92</f>
        <v>46284</v>
      </c>
      <c r="B43" s="7" t="str">
        <f>Обработка!$C$92</f>
        <v>Г 1800</v>
      </c>
      <c r="C43" s="7">
        <f>Обработка!$E$92</f>
        <v>0</v>
      </c>
      <c r="D43" s="7">
        <f>Обработка!$F$92</f>
        <v>0</v>
      </c>
      <c r="E43" s="7">
        <f>Обработка!$H$92</f>
        <v>15</v>
      </c>
      <c r="F43" s="8">
        <f>(C43+D43)*INDEX(Настройки!$B$10:$B$16,MATCH($B43,Настройки!$A$10:$A$16,0))</f>
        <v>0</v>
      </c>
      <c r="G43" s="8">
        <f>E43*INDEX(Настройки!$C$10:$C$16,MATCH($B43,Настройки!$A$10:$A$16,0))</f>
        <v>150</v>
      </c>
      <c r="H43" s="8">
        <f>E43*INDEX(Настройки!$D$10:$D$16,MATCH($B43,Настройки!$A$10:$A$16,0))</f>
        <v>450</v>
      </c>
      <c r="I43" s="8">
        <f>E43*INDEX(Настройки!$E$10:$E$16,MATCH($B43,Настройки!$A$10:$A$16,0))</f>
        <v>225</v>
      </c>
      <c r="J43" s="8">
        <f t="shared" si="1"/>
        <v>825</v>
      </c>
    </row>
    <row r="44" spans="1:10" x14ac:dyDescent="0.3">
      <c r="A44" s="3">
        <f>Обработка!$A$93</f>
        <v>46284</v>
      </c>
      <c r="B44" s="4" t="str">
        <f>Обработка!$C$93</f>
        <v>Г 800</v>
      </c>
      <c r="C44" s="4">
        <f>Обработка!$E$93</f>
        <v>0</v>
      </c>
      <c r="D44" s="4">
        <f>Обработка!$F$93</f>
        <v>0</v>
      </c>
      <c r="E44" s="4">
        <f>Обработка!$H$93</f>
        <v>7</v>
      </c>
      <c r="F44" s="9">
        <f>(C44+D44)*INDEX(Настройки!$B$10:$B$16,MATCH($B44,Настройки!$A$10:$A$16,0))</f>
        <v>0</v>
      </c>
      <c r="G44" s="9">
        <f>E44*INDEX(Настройки!$C$10:$C$16,MATCH($B44,Настройки!$A$10:$A$16,0))</f>
        <v>70</v>
      </c>
      <c r="H44" s="9">
        <f>E44*INDEX(Настройки!$D$10:$D$16,MATCH($B44,Настройки!$A$10:$A$16,0))</f>
        <v>210</v>
      </c>
      <c r="I44" s="9">
        <f>E44*INDEX(Настройки!$E$10:$E$16,MATCH($B44,Настройки!$A$10:$A$16,0))</f>
        <v>105</v>
      </c>
      <c r="J44" s="9">
        <f t="shared" si="1"/>
        <v>385</v>
      </c>
    </row>
    <row r="45" spans="1:10" x14ac:dyDescent="0.3">
      <c r="A45" s="6">
        <f>Обработка!$A$94</f>
        <v>46284</v>
      </c>
      <c r="B45" s="7" t="str">
        <f>Обработка!$C$94</f>
        <v>Ми-К</v>
      </c>
      <c r="C45" s="7">
        <f>Обработка!$E$94</f>
        <v>0</v>
      </c>
      <c r="D45" s="7">
        <f>Обработка!$F$94</f>
        <v>0</v>
      </c>
      <c r="E45" s="7">
        <f>Обработка!$H$94</f>
        <v>0</v>
      </c>
      <c r="F45" s="8">
        <f>(C45+D45)*INDEX(Настройки!$B$10:$B$16,MATCH($B45,Настройки!$A$10:$A$16,0))</f>
        <v>0</v>
      </c>
      <c r="G45" s="8">
        <f>E45*INDEX(Настройки!$C$10:$C$16,MATCH($B45,Настройки!$A$10:$A$16,0))</f>
        <v>0</v>
      </c>
      <c r="H45" s="8">
        <f>E45*INDEX(Настройки!$D$10:$D$16,MATCH($B45,Настройки!$A$10:$A$16,0))</f>
        <v>0</v>
      </c>
      <c r="I45" s="8">
        <f>E45*INDEX(Настройки!$E$10:$E$16,MATCH($B45,Настройки!$A$10:$A$16,0))</f>
        <v>0</v>
      </c>
      <c r="J45" s="8">
        <f t="shared" si="1"/>
        <v>0</v>
      </c>
    </row>
    <row r="46" spans="1:10" x14ac:dyDescent="0.3">
      <c r="A46" s="3">
        <f>Обработка!$A$95</f>
        <v>46284</v>
      </c>
      <c r="B46" s="4" t="str">
        <f>Обработка!$C$95</f>
        <v>Ми-П</v>
      </c>
      <c r="C46" s="4">
        <f>Обработка!$E$95</f>
        <v>0</v>
      </c>
      <c r="D46" s="4">
        <f>Обработка!$F$95</f>
        <v>0</v>
      </c>
      <c r="E46" s="4">
        <f>Обработка!$H$95</f>
        <v>0</v>
      </c>
      <c r="F46" s="9">
        <f>(C46+D46)*INDEX(Настройки!$B$10:$B$16,MATCH($B46,Настройки!$A$10:$A$16,0))</f>
        <v>0</v>
      </c>
      <c r="G46" s="9">
        <f>E46*INDEX(Настройки!$C$10:$C$16,MATCH($B46,Настройки!$A$10:$A$16,0))</f>
        <v>0</v>
      </c>
      <c r="H46" s="9">
        <f>E46*INDEX(Настройки!$D$10:$D$16,MATCH($B46,Настройки!$A$10:$A$16,0))</f>
        <v>0</v>
      </c>
      <c r="I46" s="9">
        <f>E46*INDEX(Настройки!$E$10:$E$16,MATCH($B46,Настройки!$A$10:$A$16,0))</f>
        <v>0</v>
      </c>
      <c r="J46" s="9">
        <f t="shared" si="1"/>
        <v>0</v>
      </c>
    </row>
    <row r="47" spans="1:10" x14ac:dyDescent="0.3">
      <c r="A47" s="6">
        <f>Обработка!$A$96</f>
        <v>46285</v>
      </c>
      <c r="B47" s="7" t="str">
        <f>Обработка!$C$96</f>
        <v>АК-10</v>
      </c>
      <c r="C47" s="7">
        <f>Обработка!$E$96</f>
        <v>0</v>
      </c>
      <c r="D47" s="7">
        <f>Обработка!$F$96</f>
        <v>0</v>
      </c>
      <c r="E47" s="7">
        <f>Обработка!$H$96</f>
        <v>3</v>
      </c>
      <c r="F47" s="8">
        <f>(C47+D47)*INDEX(Настройки!$B$10:$B$16,MATCH($B47,Настройки!$A$10:$A$16,0))</f>
        <v>0</v>
      </c>
      <c r="G47" s="8">
        <f>E47*INDEX(Настройки!$C$10:$C$16,MATCH($B47,Настройки!$A$10:$A$16,0))</f>
        <v>30</v>
      </c>
      <c r="H47" s="8">
        <f>E47*INDEX(Настройки!$D$10:$D$16,MATCH($B47,Настройки!$A$10:$A$16,0))</f>
        <v>60</v>
      </c>
      <c r="I47" s="8">
        <f>E47*INDEX(Настройки!$E$10:$E$16,MATCH($B47,Настройки!$A$10:$A$16,0))</f>
        <v>30</v>
      </c>
      <c r="J47" s="8">
        <f t="shared" si="1"/>
        <v>120</v>
      </c>
    </row>
    <row r="48" spans="1:10" x14ac:dyDescent="0.3">
      <c r="A48" s="3">
        <f>Обработка!$A$97</f>
        <v>46285</v>
      </c>
      <c r="B48" s="4" t="str">
        <f>Обработка!$C$97</f>
        <v>АК-15</v>
      </c>
      <c r="C48" s="4">
        <f>Обработка!$E$97</f>
        <v>0</v>
      </c>
      <c r="D48" s="4">
        <f>Обработка!$F$97</f>
        <v>0</v>
      </c>
      <c r="E48" s="4">
        <f>Обработка!$H$97</f>
        <v>3</v>
      </c>
      <c r="F48" s="9">
        <f>(C48+D48)*INDEX(Настройки!$B$10:$B$16,MATCH($B48,Настройки!$A$10:$A$16,0))</f>
        <v>0</v>
      </c>
      <c r="G48" s="9">
        <f>E48*INDEX(Настройки!$C$10:$C$16,MATCH($B48,Настройки!$A$10:$A$16,0))</f>
        <v>30</v>
      </c>
      <c r="H48" s="9">
        <f>E48*INDEX(Настройки!$D$10:$D$16,MATCH($B48,Настройки!$A$10:$A$16,0))</f>
        <v>60</v>
      </c>
      <c r="I48" s="9">
        <f>E48*INDEX(Настройки!$E$10:$E$16,MATCH($B48,Настройки!$A$10:$A$16,0))</f>
        <v>30</v>
      </c>
      <c r="J48" s="9">
        <f t="shared" si="1"/>
        <v>120</v>
      </c>
    </row>
    <row r="49" spans="1:10" x14ac:dyDescent="0.3">
      <c r="A49" s="6">
        <f>Обработка!$A$98</f>
        <v>46285</v>
      </c>
      <c r="B49" s="7" t="str">
        <f>Обработка!$C$98</f>
        <v>Г 3500</v>
      </c>
      <c r="C49" s="7">
        <f>Обработка!$E$98</f>
        <v>0</v>
      </c>
      <c r="D49" s="7">
        <f>Обработка!$F$98</f>
        <v>0</v>
      </c>
      <c r="E49" s="7">
        <f>Обработка!$H$98</f>
        <v>2</v>
      </c>
      <c r="F49" s="8">
        <f>(C49+D49)*INDEX(Настройки!$B$10:$B$16,MATCH($B49,Настройки!$A$10:$A$16,0))</f>
        <v>0</v>
      </c>
      <c r="G49" s="8">
        <f>E49*INDEX(Настройки!$C$10:$C$16,MATCH($B49,Настройки!$A$10:$A$16,0))</f>
        <v>30</v>
      </c>
      <c r="H49" s="8">
        <f>E49*INDEX(Настройки!$D$10:$D$16,MATCH($B49,Настройки!$A$10:$A$16,0))</f>
        <v>70</v>
      </c>
      <c r="I49" s="8">
        <f>E49*INDEX(Настройки!$E$10:$E$16,MATCH($B49,Настройки!$A$10:$A$16,0))</f>
        <v>50</v>
      </c>
      <c r="J49" s="8">
        <f t="shared" si="1"/>
        <v>150</v>
      </c>
    </row>
    <row r="50" spans="1:10" x14ac:dyDescent="0.3">
      <c r="A50" s="3">
        <f>Обработка!$A$99</f>
        <v>46285</v>
      </c>
      <c r="B50" s="4" t="str">
        <f>Обработка!$C$99</f>
        <v>Г 1800</v>
      </c>
      <c r="C50" s="4">
        <f>Обработка!$E$99</f>
        <v>0</v>
      </c>
      <c r="D50" s="4">
        <f>Обработка!$F$99</f>
        <v>0</v>
      </c>
      <c r="E50" s="4">
        <f>Обработка!$H$99</f>
        <v>13</v>
      </c>
      <c r="F50" s="9">
        <f>(C50+D50)*INDEX(Настройки!$B$10:$B$16,MATCH($B50,Настройки!$A$10:$A$16,0))</f>
        <v>0</v>
      </c>
      <c r="G50" s="9">
        <f>E50*INDEX(Настройки!$C$10:$C$16,MATCH($B50,Настройки!$A$10:$A$16,0))</f>
        <v>130</v>
      </c>
      <c r="H50" s="9">
        <f>E50*INDEX(Настройки!$D$10:$D$16,MATCH($B50,Настройки!$A$10:$A$16,0))</f>
        <v>390</v>
      </c>
      <c r="I50" s="9">
        <f>E50*INDEX(Настройки!$E$10:$E$16,MATCH($B50,Настройки!$A$10:$A$16,0))</f>
        <v>195</v>
      </c>
      <c r="J50" s="9">
        <f t="shared" si="1"/>
        <v>715</v>
      </c>
    </row>
    <row r="51" spans="1:10" x14ac:dyDescent="0.3">
      <c r="A51" s="6">
        <f>Обработка!$A$100</f>
        <v>46285</v>
      </c>
      <c r="B51" s="7" t="str">
        <f>Обработка!$C$100</f>
        <v>Г 800</v>
      </c>
      <c r="C51" s="7">
        <f>Обработка!$E$100</f>
        <v>0</v>
      </c>
      <c r="D51" s="7">
        <f>Обработка!$F$100</f>
        <v>0</v>
      </c>
      <c r="E51" s="7">
        <f>Обработка!$H$100</f>
        <v>8</v>
      </c>
      <c r="F51" s="8">
        <f>(C51+D51)*INDEX(Настройки!$B$10:$B$16,MATCH($B51,Настройки!$A$10:$A$16,0))</f>
        <v>0</v>
      </c>
      <c r="G51" s="8">
        <f>E51*INDEX(Настройки!$C$10:$C$16,MATCH($B51,Настройки!$A$10:$A$16,0))</f>
        <v>80</v>
      </c>
      <c r="H51" s="8">
        <f>E51*INDEX(Настройки!$D$10:$D$16,MATCH($B51,Настройки!$A$10:$A$16,0))</f>
        <v>240</v>
      </c>
      <c r="I51" s="8">
        <f>E51*INDEX(Настройки!$E$10:$E$16,MATCH($B51,Настройки!$A$10:$A$16,0))</f>
        <v>120</v>
      </c>
      <c r="J51" s="8">
        <f t="shared" si="1"/>
        <v>440</v>
      </c>
    </row>
    <row r="52" spans="1:10" x14ac:dyDescent="0.3">
      <c r="A52" s="3">
        <f>Обработка!$A$101</f>
        <v>46285</v>
      </c>
      <c r="B52" s="4" t="str">
        <f>Обработка!$C$101</f>
        <v>Ми-К</v>
      </c>
      <c r="C52" s="4">
        <f>Обработка!$E$101</f>
        <v>0</v>
      </c>
      <c r="D52" s="4">
        <f>Обработка!$F$101</f>
        <v>0</v>
      </c>
      <c r="E52" s="4">
        <f>Обработка!$H$101</f>
        <v>4</v>
      </c>
      <c r="F52" s="9">
        <f>(C52+D52)*INDEX(Настройки!$B$10:$B$16,MATCH($B52,Настройки!$A$10:$A$16,0))</f>
        <v>0</v>
      </c>
      <c r="G52" s="9">
        <f>E52*INDEX(Настройки!$C$10:$C$16,MATCH($B52,Настройки!$A$10:$A$16,0))</f>
        <v>0</v>
      </c>
      <c r="H52" s="9">
        <f>E52*INDEX(Настройки!$D$10:$D$16,MATCH($B52,Настройки!$A$10:$A$16,0))</f>
        <v>80</v>
      </c>
      <c r="I52" s="9">
        <f>E52*INDEX(Настройки!$E$10:$E$16,MATCH($B52,Настройки!$A$10:$A$16,0))</f>
        <v>40</v>
      </c>
      <c r="J52" s="9">
        <f t="shared" si="1"/>
        <v>120</v>
      </c>
    </row>
    <row r="53" spans="1:10" x14ac:dyDescent="0.3">
      <c r="A53" s="6">
        <f>Обработка!$A$102</f>
        <v>46285</v>
      </c>
      <c r="B53" s="7" t="str">
        <f>Обработка!$C$102</f>
        <v>Ми-П</v>
      </c>
      <c r="C53" s="7">
        <f>Обработка!$E$102</f>
        <v>0</v>
      </c>
      <c r="D53" s="7">
        <f>Обработка!$F$102</f>
        <v>0</v>
      </c>
      <c r="E53" s="7">
        <f>Обработка!$H$102</f>
        <v>1</v>
      </c>
      <c r="F53" s="8">
        <f>(C53+D53)*INDEX(Настройки!$B$10:$B$16,MATCH($B53,Настройки!$A$10:$A$16,0))</f>
        <v>0</v>
      </c>
      <c r="G53" s="8">
        <f>E53*INDEX(Настройки!$C$10:$C$16,MATCH($B53,Настройки!$A$10:$A$16,0))</f>
        <v>0</v>
      </c>
      <c r="H53" s="8">
        <f>E53*INDEX(Настройки!$D$10:$D$16,MATCH($B53,Настройки!$A$10:$A$16,0))</f>
        <v>20</v>
      </c>
      <c r="I53" s="8">
        <f>E53*INDEX(Настройки!$E$10:$E$16,MATCH($B53,Настройки!$A$10:$A$16,0))</f>
        <v>10</v>
      </c>
      <c r="J53" s="8">
        <f t="shared" si="1"/>
        <v>30</v>
      </c>
    </row>
  </sheetData>
  <autoFilter ref="A4:J53" xr:uid="{00000000-0009-0000-0000-000003000000}"/>
  <pageMargins left="0.7" right="0.7" top="0.75" bottom="0.75" header="0.3" footer="0.3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54"/>
  <sheetViews>
    <sheetView showGridLines="0" workbookViewId="0">
      <pane ySplit="4" topLeftCell="A25" activePane="bottomLeft" state="frozen"/>
      <selection pane="bottomLeft" activeCell="F13" sqref="F13"/>
    </sheetView>
  </sheetViews>
  <sheetFormatPr defaultRowHeight="14.4" x14ac:dyDescent="0.3"/>
  <cols>
    <col min="1" max="1" width="13.6640625" customWidth="1"/>
    <col min="2" max="3" width="18.6640625" customWidth="1"/>
    <col min="4" max="11" width="14.6640625" customWidth="1"/>
  </cols>
  <sheetData>
    <row r="1" spans="1:11" ht="21" x14ac:dyDescent="0.4">
      <c r="A1" s="1" t="s">
        <v>48</v>
      </c>
    </row>
    <row r="4" spans="1:11" x14ac:dyDescent="0.3">
      <c r="A4" t="s">
        <v>21</v>
      </c>
      <c r="B4" t="s">
        <v>23</v>
      </c>
      <c r="C4" t="s">
        <v>4</v>
      </c>
      <c r="D4" t="s">
        <v>25</v>
      </c>
      <c r="E4" t="s">
        <v>26</v>
      </c>
      <c r="F4" t="s">
        <v>29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</row>
    <row r="5" spans="1:11" x14ac:dyDescent="0.3">
      <c r="A5" s="6">
        <f>Обработка!$A$54</f>
        <v>46279</v>
      </c>
      <c r="B5" s="7" t="str">
        <f>Обработка!$B$54</f>
        <v>Пузанов Д.В.</v>
      </c>
      <c r="C5" s="7" t="str">
        <f>Обработка!$C$54</f>
        <v>АК-10</v>
      </c>
      <c r="D5" s="7">
        <f>Обработка!$E$54</f>
        <v>15</v>
      </c>
      <c r="E5" s="7">
        <f>Обработка!$F$54</f>
        <v>0</v>
      </c>
      <c r="F5" s="7">
        <f>Обработка!$H$54</f>
        <v>2</v>
      </c>
      <c r="G5" s="8">
        <f>(D5+E5)*INDEX(Настройки!$G$10:$G$16,MATCH($C5,Настройки!$A$10:$A$16,0))</f>
        <v>15</v>
      </c>
      <c r="H5" s="8">
        <f>F5*INDEX(Настройки!$H$10:$H$16,MATCH($C5,Настройки!$A$10:$A$16,0))</f>
        <v>6</v>
      </c>
      <c r="I5" s="8">
        <f>F5*INDEX(Настройки!$I$10:$I$16,MATCH($C5,Настройки!$A$10:$A$16,0))</f>
        <v>12</v>
      </c>
      <c r="J5" s="8">
        <f>F5*INDEX(Настройки!$J$10:$J$16,MATCH($C5,Настройки!$A$10:$A$16,0))</f>
        <v>6</v>
      </c>
      <c r="K5" s="8">
        <f t="shared" ref="K5:K36" si="0">SUM(G5:J5)</f>
        <v>39</v>
      </c>
    </row>
    <row r="6" spans="1:11" x14ac:dyDescent="0.3">
      <c r="A6" s="3">
        <f>Обработка!$A$55</f>
        <v>46279</v>
      </c>
      <c r="B6" s="4" t="str">
        <f>Обработка!$B$55</f>
        <v>Пузанов Д.В.</v>
      </c>
      <c r="C6" s="4" t="str">
        <f>Обработка!$C$55</f>
        <v>АК-15</v>
      </c>
      <c r="D6" s="4">
        <f>Обработка!$E$55</f>
        <v>0</v>
      </c>
      <c r="E6" s="4">
        <f>Обработка!$F$55</f>
        <v>0</v>
      </c>
      <c r="F6" s="4">
        <f>Обработка!$H$55</f>
        <v>2</v>
      </c>
      <c r="G6" s="9">
        <f>(D6+E6)*INDEX(Настройки!$G$10:$G$16,MATCH($C6,Настройки!$A$10:$A$16,0))</f>
        <v>0</v>
      </c>
      <c r="H6" s="9">
        <f>F6*INDEX(Настройки!$H$10:$H$16,MATCH($C6,Настройки!$A$10:$A$16,0))</f>
        <v>6</v>
      </c>
      <c r="I6" s="9">
        <f>F6*INDEX(Настройки!$I$10:$I$16,MATCH($C6,Настройки!$A$10:$A$16,0))</f>
        <v>12</v>
      </c>
      <c r="J6" s="9">
        <f>F6*INDEX(Настройки!$J$10:$J$16,MATCH($C6,Настройки!$A$10:$A$16,0))</f>
        <v>6</v>
      </c>
      <c r="K6" s="9">
        <f t="shared" si="0"/>
        <v>24</v>
      </c>
    </row>
    <row r="7" spans="1:11" x14ac:dyDescent="0.3">
      <c r="A7" s="6">
        <f>Обработка!$A$56</f>
        <v>46279</v>
      </c>
      <c r="B7" s="7" t="str">
        <f>Обработка!$B$56</f>
        <v>Пузанов Д.В.</v>
      </c>
      <c r="C7" s="7" t="str">
        <f>Обработка!$C$56</f>
        <v>Г 3500</v>
      </c>
      <c r="D7" s="7">
        <f>Обработка!$E$56</f>
        <v>14</v>
      </c>
      <c r="E7" s="7">
        <f>Обработка!$F$56</f>
        <v>0</v>
      </c>
      <c r="F7" s="7">
        <f>Обработка!$H$56</f>
        <v>0</v>
      </c>
      <c r="G7" s="8">
        <f>(D7+E7)*INDEX(Настройки!$G$10:$G$16,MATCH($C7,Настройки!$A$10:$A$16,0))</f>
        <v>42</v>
      </c>
      <c r="H7" s="8">
        <f>F7*INDEX(Настройки!$H$10:$H$16,MATCH($C7,Настройки!$A$10:$A$16,0))</f>
        <v>0</v>
      </c>
      <c r="I7" s="8">
        <f>F7*INDEX(Настройки!$I$10:$I$16,MATCH($C7,Настройки!$A$10:$A$16,0))</f>
        <v>0</v>
      </c>
      <c r="J7" s="8">
        <f>F7*INDEX(Настройки!$J$10:$J$16,MATCH($C7,Настройки!$A$10:$A$16,0))</f>
        <v>0</v>
      </c>
      <c r="K7" s="8">
        <f t="shared" si="0"/>
        <v>42</v>
      </c>
    </row>
    <row r="8" spans="1:11" x14ac:dyDescent="0.3">
      <c r="A8" s="3">
        <f>Обработка!$A$57</f>
        <v>46279</v>
      </c>
      <c r="B8" s="4" t="str">
        <f>Обработка!$B$57</f>
        <v>Пузанов Д.В.</v>
      </c>
      <c r="C8" s="4" t="str">
        <f>Обработка!$C$57</f>
        <v>Г 1800</v>
      </c>
      <c r="D8" s="4">
        <f>Обработка!$E$57</f>
        <v>0</v>
      </c>
      <c r="E8" s="4">
        <f>Обработка!$F$57</f>
        <v>0</v>
      </c>
      <c r="F8" s="4">
        <f>Обработка!$H$57</f>
        <v>8</v>
      </c>
      <c r="G8" s="9">
        <f>(D8+E8)*INDEX(Настройки!$G$10:$G$16,MATCH($C8,Настройки!$A$10:$A$16,0))</f>
        <v>0</v>
      </c>
      <c r="H8" s="9">
        <f>F8*INDEX(Настройки!$H$10:$H$16,MATCH($C8,Настройки!$A$10:$A$16,0))</f>
        <v>32</v>
      </c>
      <c r="I8" s="9">
        <f>F8*INDEX(Настройки!$I$10:$I$16,MATCH($C8,Настройки!$A$10:$A$16,0))</f>
        <v>96</v>
      </c>
      <c r="J8" s="9">
        <f>F8*INDEX(Настройки!$J$10:$J$16,MATCH($C8,Настройки!$A$10:$A$16,0))</f>
        <v>56</v>
      </c>
      <c r="K8" s="9">
        <f t="shared" si="0"/>
        <v>184</v>
      </c>
    </row>
    <row r="9" spans="1:11" x14ac:dyDescent="0.3">
      <c r="A9" s="6">
        <f>Обработка!$A$58</f>
        <v>46279</v>
      </c>
      <c r="B9" s="7" t="str">
        <f>Обработка!$B$58</f>
        <v>Пузанов Д.В.</v>
      </c>
      <c r="C9" s="7" t="str">
        <f>Обработка!$C$58</f>
        <v>Г 800</v>
      </c>
      <c r="D9" s="7">
        <f>Обработка!$E$58</f>
        <v>0</v>
      </c>
      <c r="E9" s="7">
        <f>Обработка!$F$58</f>
        <v>0</v>
      </c>
      <c r="F9" s="7">
        <f>Обработка!$H$58</f>
        <v>9</v>
      </c>
      <c r="G9" s="8">
        <f>(D9+E9)*INDEX(Настройки!$G$10:$G$16,MATCH($C9,Настройки!$A$10:$A$16,0))</f>
        <v>0</v>
      </c>
      <c r="H9" s="8">
        <f>F9*INDEX(Настройки!$H$10:$H$16,MATCH($C9,Настройки!$A$10:$A$16,0))</f>
        <v>36</v>
      </c>
      <c r="I9" s="8">
        <f>F9*INDEX(Настройки!$I$10:$I$16,MATCH($C9,Настройки!$A$10:$A$16,0))</f>
        <v>108</v>
      </c>
      <c r="J9" s="8">
        <f>F9*INDEX(Настройки!$J$10:$J$16,MATCH($C9,Настройки!$A$10:$A$16,0))</f>
        <v>63</v>
      </c>
      <c r="K9" s="8">
        <f t="shared" si="0"/>
        <v>207</v>
      </c>
    </row>
    <row r="10" spans="1:11" x14ac:dyDescent="0.3">
      <c r="A10" s="3">
        <f>Обработка!$A$59</f>
        <v>46279</v>
      </c>
      <c r="B10" s="4" t="str">
        <f>Обработка!$B$59</f>
        <v>Пузанов Д.В.</v>
      </c>
      <c r="C10" s="4" t="str">
        <f>Обработка!$C$59</f>
        <v>Ми-К</v>
      </c>
      <c r="D10" s="4">
        <f>Обработка!$E$59</f>
        <v>0</v>
      </c>
      <c r="E10" s="4">
        <f>Обработка!$F$59</f>
        <v>1</v>
      </c>
      <c r="F10" s="4">
        <f>Обработка!$H$59</f>
        <v>4</v>
      </c>
      <c r="G10" s="9">
        <f>(D10+E10)*INDEX(Настройки!$G$10:$G$16,MATCH($C10,Настройки!$A$10:$A$16,0))</f>
        <v>1</v>
      </c>
      <c r="H10" s="9">
        <f>F10*INDEX(Настройки!$H$10:$H$16,MATCH($C10,Настройки!$A$10:$A$16,0))</f>
        <v>8</v>
      </c>
      <c r="I10" s="9">
        <f>F10*INDEX(Настройки!$I$10:$I$16,MATCH($C10,Настройки!$A$10:$A$16,0))</f>
        <v>20</v>
      </c>
      <c r="J10" s="9">
        <f>F10*INDEX(Настройки!$J$10:$J$16,MATCH($C10,Настройки!$A$10:$A$16,0))</f>
        <v>20</v>
      </c>
      <c r="K10" s="9">
        <f t="shared" si="0"/>
        <v>49</v>
      </c>
    </row>
    <row r="11" spans="1:11" x14ac:dyDescent="0.3">
      <c r="A11" s="6">
        <f>Обработка!$A$60</f>
        <v>46279</v>
      </c>
      <c r="B11" s="7" t="str">
        <f>Обработка!$B$60</f>
        <v>Пузанов Д.В.</v>
      </c>
      <c r="C11" s="7" t="str">
        <f>Обработка!$C$60</f>
        <v>Ми-П</v>
      </c>
      <c r="D11" s="7">
        <f>Обработка!$E$60</f>
        <v>0</v>
      </c>
      <c r="E11" s="7">
        <f>Обработка!$F$60</f>
        <v>0</v>
      </c>
      <c r="F11" s="7">
        <f>Обработка!$H$60</f>
        <v>1</v>
      </c>
      <c r="G11" s="8">
        <f>(D11+E11)*INDEX(Настройки!$G$10:$G$16,MATCH($C11,Настройки!$A$10:$A$16,0))</f>
        <v>0</v>
      </c>
      <c r="H11" s="8">
        <f>F11*INDEX(Настройки!$H$10:$H$16,MATCH($C11,Настройки!$A$10:$A$16,0))</f>
        <v>2</v>
      </c>
      <c r="I11" s="8">
        <f>F11*INDEX(Настройки!$I$10:$I$16,MATCH($C11,Настройки!$A$10:$A$16,0))</f>
        <v>5</v>
      </c>
      <c r="J11" s="8">
        <f>F11*INDEX(Настройки!$J$10:$J$16,MATCH($C11,Настройки!$A$10:$A$16,0))</f>
        <v>5</v>
      </c>
      <c r="K11" s="8">
        <f t="shared" si="0"/>
        <v>12</v>
      </c>
    </row>
    <row r="12" spans="1:11" x14ac:dyDescent="0.3">
      <c r="A12" s="3">
        <f>Обработка!$A$61</f>
        <v>46280</v>
      </c>
      <c r="B12" s="4" t="str">
        <f>Обработка!$B$61</f>
        <v>Завалишин Д.Л.</v>
      </c>
      <c r="C12" s="4" t="str">
        <f>Обработка!$C$61</f>
        <v>АК-10</v>
      </c>
      <c r="D12" s="4">
        <f>Обработка!$E$61</f>
        <v>0</v>
      </c>
      <c r="E12" s="4">
        <f>Обработка!$F$61</f>
        <v>0</v>
      </c>
      <c r="F12" s="4">
        <f>Обработка!$H$61</f>
        <v>0</v>
      </c>
      <c r="G12" s="9">
        <f>(D12+E12)*INDEX(Настройки!$G$10:$G$16,MATCH($C12,Настройки!$A$10:$A$16,0))</f>
        <v>0</v>
      </c>
      <c r="H12" s="9">
        <f>F12*INDEX(Настройки!$H$10:$H$16,MATCH($C12,Настройки!$A$10:$A$16,0))</f>
        <v>0</v>
      </c>
      <c r="I12" s="9">
        <f>F12*INDEX(Настройки!$I$10:$I$16,MATCH($C12,Настройки!$A$10:$A$16,0))</f>
        <v>0</v>
      </c>
      <c r="J12" s="9">
        <f>F12*INDEX(Настройки!$J$10:$J$16,MATCH($C12,Настройки!$A$10:$A$16,0))</f>
        <v>0</v>
      </c>
      <c r="K12" s="9">
        <f t="shared" si="0"/>
        <v>0</v>
      </c>
    </row>
    <row r="13" spans="1:11" x14ac:dyDescent="0.3">
      <c r="A13" s="6">
        <f>Обработка!$A$62</f>
        <v>46280</v>
      </c>
      <c r="B13" s="7" t="str">
        <f>Обработка!$B$62</f>
        <v>Завалишин Д.Л.</v>
      </c>
      <c r="C13" s="7" t="str">
        <f>Обработка!$C$62</f>
        <v>АК-15</v>
      </c>
      <c r="D13" s="7">
        <f>Обработка!$E$62</f>
        <v>0</v>
      </c>
      <c r="E13" s="7">
        <f>Обработка!$F$62</f>
        <v>0</v>
      </c>
      <c r="F13" s="7">
        <f>Обработка!$H$62</f>
        <v>1</v>
      </c>
      <c r="G13" s="8">
        <f>(D13+E13)*INDEX(Настройки!$G$10:$G$16,MATCH($C13,Настройки!$A$10:$A$16,0))</f>
        <v>0</v>
      </c>
      <c r="H13" s="8">
        <f>F13*INDEX(Настройки!$H$10:$H$16,MATCH($C13,Настройки!$A$10:$A$16,0))</f>
        <v>3</v>
      </c>
      <c r="I13" s="8">
        <f>F13*INDEX(Настройки!$I$10:$I$16,MATCH($C13,Настройки!$A$10:$A$16,0))</f>
        <v>6</v>
      </c>
      <c r="J13" s="8">
        <f>F13*INDEX(Настройки!$J$10:$J$16,MATCH($C13,Настройки!$A$10:$A$16,0))</f>
        <v>3</v>
      </c>
      <c r="K13" s="8">
        <f t="shared" si="0"/>
        <v>12</v>
      </c>
    </row>
    <row r="14" spans="1:11" x14ac:dyDescent="0.3">
      <c r="A14" s="3">
        <f>Обработка!$A$63</f>
        <v>46280</v>
      </c>
      <c r="B14" s="4" t="str">
        <f>Обработка!$B$63</f>
        <v>Завалишин Д.Л.</v>
      </c>
      <c r="C14" s="4" t="str">
        <f>Обработка!$C$63</f>
        <v>Г 3500</v>
      </c>
      <c r="D14" s="4">
        <f>Обработка!$E$63</f>
        <v>0</v>
      </c>
      <c r="E14" s="4">
        <f>Обработка!$F$63</f>
        <v>0</v>
      </c>
      <c r="F14" s="4">
        <f>Обработка!$H$63</f>
        <v>1</v>
      </c>
      <c r="G14" s="9">
        <f>(D14+E14)*INDEX(Настройки!$G$10:$G$16,MATCH($C14,Настройки!$A$10:$A$16,0))</f>
        <v>0</v>
      </c>
      <c r="H14" s="9">
        <f>F14*INDEX(Настройки!$H$10:$H$16,MATCH($C14,Настройки!$A$10:$A$16,0))</f>
        <v>6</v>
      </c>
      <c r="I14" s="9">
        <f>F14*INDEX(Настройки!$I$10:$I$16,MATCH($C14,Настройки!$A$10:$A$16,0))</f>
        <v>16</v>
      </c>
      <c r="J14" s="9">
        <f>F14*INDEX(Настройки!$J$10:$J$16,MATCH($C14,Настройки!$A$10:$A$16,0))</f>
        <v>12</v>
      </c>
      <c r="K14" s="9">
        <f t="shared" si="0"/>
        <v>34</v>
      </c>
    </row>
    <row r="15" spans="1:11" x14ac:dyDescent="0.3">
      <c r="A15" s="6">
        <f>Обработка!$A$64</f>
        <v>46280</v>
      </c>
      <c r="B15" s="7" t="str">
        <f>Обработка!$B$64</f>
        <v>Завалишин Д.Л.</v>
      </c>
      <c r="C15" s="7" t="str">
        <f>Обработка!$C$64</f>
        <v>Г 1800</v>
      </c>
      <c r="D15" s="7">
        <f>Обработка!$E$64</f>
        <v>0</v>
      </c>
      <c r="E15" s="7">
        <f>Обработка!$F$64</f>
        <v>0</v>
      </c>
      <c r="F15" s="7">
        <f>Обработка!$H$64</f>
        <v>11</v>
      </c>
      <c r="G15" s="8">
        <f>(D15+E15)*INDEX(Настройки!$G$10:$G$16,MATCH($C15,Настройки!$A$10:$A$16,0))</f>
        <v>0</v>
      </c>
      <c r="H15" s="8">
        <f>F15*INDEX(Настройки!$H$10:$H$16,MATCH($C15,Настройки!$A$10:$A$16,0))</f>
        <v>44</v>
      </c>
      <c r="I15" s="8">
        <f>F15*INDEX(Настройки!$I$10:$I$16,MATCH($C15,Настройки!$A$10:$A$16,0))</f>
        <v>132</v>
      </c>
      <c r="J15" s="8">
        <f>F15*INDEX(Настройки!$J$10:$J$16,MATCH($C15,Настройки!$A$10:$A$16,0))</f>
        <v>77</v>
      </c>
      <c r="K15" s="8">
        <f t="shared" si="0"/>
        <v>253</v>
      </c>
    </row>
    <row r="16" spans="1:11" x14ac:dyDescent="0.3">
      <c r="A16" s="3">
        <f>Обработка!$A$65</f>
        <v>46280</v>
      </c>
      <c r="B16" s="4" t="str">
        <f>Обработка!$B$65</f>
        <v>Завалишин Д.Л.</v>
      </c>
      <c r="C16" s="4" t="str">
        <f>Обработка!$C$65</f>
        <v>Г 800</v>
      </c>
      <c r="D16" s="4">
        <f>Обработка!$E$65</f>
        <v>0</v>
      </c>
      <c r="E16" s="4">
        <f>Обработка!$F$65</f>
        <v>0</v>
      </c>
      <c r="F16" s="4">
        <f>Обработка!$H$65</f>
        <v>7</v>
      </c>
      <c r="G16" s="9">
        <f>(D16+E16)*INDEX(Настройки!$G$10:$G$16,MATCH($C16,Настройки!$A$10:$A$16,0))</f>
        <v>0</v>
      </c>
      <c r="H16" s="9">
        <f>F16*INDEX(Настройки!$H$10:$H$16,MATCH($C16,Настройки!$A$10:$A$16,0))</f>
        <v>28</v>
      </c>
      <c r="I16" s="9">
        <f>F16*INDEX(Настройки!$I$10:$I$16,MATCH($C16,Настройки!$A$10:$A$16,0))</f>
        <v>84</v>
      </c>
      <c r="J16" s="9">
        <f>F16*INDEX(Настройки!$J$10:$J$16,MATCH($C16,Настройки!$A$10:$A$16,0))</f>
        <v>49</v>
      </c>
      <c r="K16" s="9">
        <f t="shared" si="0"/>
        <v>161</v>
      </c>
    </row>
    <row r="17" spans="1:11" x14ac:dyDescent="0.3">
      <c r="A17" s="6">
        <f>Обработка!$A$66</f>
        <v>46280</v>
      </c>
      <c r="B17" s="7" t="str">
        <f>Обработка!$B$66</f>
        <v>Завалишин Д.Л.</v>
      </c>
      <c r="C17" s="7" t="str">
        <f>Обработка!$C$66</f>
        <v>Ми-К</v>
      </c>
      <c r="D17" s="7">
        <f>Обработка!$E$66</f>
        <v>20</v>
      </c>
      <c r="E17" s="7">
        <f>Обработка!$F$66</f>
        <v>0</v>
      </c>
      <c r="F17" s="7">
        <f>Обработка!$H$66</f>
        <v>4</v>
      </c>
      <c r="G17" s="8">
        <f>(D17+E17)*INDEX(Настройки!$G$10:$G$16,MATCH($C17,Настройки!$A$10:$A$16,0))</f>
        <v>20</v>
      </c>
      <c r="H17" s="8">
        <f>F17*INDEX(Настройки!$H$10:$H$16,MATCH($C17,Настройки!$A$10:$A$16,0))</f>
        <v>8</v>
      </c>
      <c r="I17" s="8">
        <f>F17*INDEX(Настройки!$I$10:$I$16,MATCH($C17,Настройки!$A$10:$A$16,0))</f>
        <v>20</v>
      </c>
      <c r="J17" s="8">
        <f>F17*INDEX(Настройки!$J$10:$J$16,MATCH($C17,Настройки!$A$10:$A$16,0))</f>
        <v>20</v>
      </c>
      <c r="K17" s="8">
        <f t="shared" si="0"/>
        <v>68</v>
      </c>
    </row>
    <row r="18" spans="1:11" x14ac:dyDescent="0.3">
      <c r="A18" s="3">
        <f>Обработка!$A$67</f>
        <v>46280</v>
      </c>
      <c r="B18" s="4" t="str">
        <f>Обработка!$B$67</f>
        <v>Завалишин Д.Л.</v>
      </c>
      <c r="C18" s="4" t="str">
        <f>Обработка!$C$67</f>
        <v>Ми-П</v>
      </c>
      <c r="D18" s="4">
        <f>Обработка!$E$67</f>
        <v>0</v>
      </c>
      <c r="E18" s="4">
        <f>Обработка!$F$67</f>
        <v>0</v>
      </c>
      <c r="F18" s="4">
        <f>Обработка!$H$67</f>
        <v>1</v>
      </c>
      <c r="G18" s="9">
        <f>(D18+E18)*INDEX(Настройки!$G$10:$G$16,MATCH($C18,Настройки!$A$10:$A$16,0))</f>
        <v>0</v>
      </c>
      <c r="H18" s="9">
        <f>F18*INDEX(Настройки!$H$10:$H$16,MATCH($C18,Настройки!$A$10:$A$16,0))</f>
        <v>2</v>
      </c>
      <c r="I18" s="9">
        <f>F18*INDEX(Настройки!$I$10:$I$16,MATCH($C18,Настройки!$A$10:$A$16,0))</f>
        <v>5</v>
      </c>
      <c r="J18" s="9">
        <f>F18*INDEX(Настройки!$J$10:$J$16,MATCH($C18,Настройки!$A$10:$A$16,0))</f>
        <v>5</v>
      </c>
      <c r="K18" s="9">
        <f t="shared" si="0"/>
        <v>12</v>
      </c>
    </row>
    <row r="19" spans="1:11" x14ac:dyDescent="0.3">
      <c r="A19" s="6">
        <f>Обработка!$A$68</f>
        <v>46281</v>
      </c>
      <c r="B19" s="7" t="str">
        <f>Обработка!$B$68</f>
        <v>Завалишин Д.Л.</v>
      </c>
      <c r="C19" s="7" t="str">
        <f>Обработка!$C$68</f>
        <v>АК-10</v>
      </c>
      <c r="D19" s="7">
        <f>Обработка!$E$68</f>
        <v>0</v>
      </c>
      <c r="E19" s="7">
        <f>Обработка!$F$68</f>
        <v>0</v>
      </c>
      <c r="F19" s="7">
        <f>Обработка!$H$68</f>
        <v>1</v>
      </c>
      <c r="G19" s="8">
        <f>(D19+E19)*INDEX(Настройки!$G$10:$G$16,MATCH($C19,Настройки!$A$10:$A$16,0))</f>
        <v>0</v>
      </c>
      <c r="H19" s="8">
        <f>F19*INDEX(Настройки!$H$10:$H$16,MATCH($C19,Настройки!$A$10:$A$16,0))</f>
        <v>3</v>
      </c>
      <c r="I19" s="8">
        <f>F19*INDEX(Настройки!$I$10:$I$16,MATCH($C19,Настройки!$A$10:$A$16,0))</f>
        <v>6</v>
      </c>
      <c r="J19" s="8">
        <f>F19*INDEX(Настройки!$J$10:$J$16,MATCH($C19,Настройки!$A$10:$A$16,0))</f>
        <v>3</v>
      </c>
      <c r="K19" s="8">
        <f t="shared" si="0"/>
        <v>12</v>
      </c>
    </row>
    <row r="20" spans="1:11" x14ac:dyDescent="0.3">
      <c r="A20" s="3">
        <f>Обработка!$A$69</f>
        <v>46281</v>
      </c>
      <c r="B20" s="4" t="str">
        <f>Обработка!$B$69</f>
        <v>Завалишин Д.Л.</v>
      </c>
      <c r="C20" s="4" t="str">
        <f>Обработка!$C$69</f>
        <v>АК-15</v>
      </c>
      <c r="D20" s="4">
        <f>Обработка!$E$69</f>
        <v>0</v>
      </c>
      <c r="E20" s="4">
        <f>Обработка!$F$69</f>
        <v>0</v>
      </c>
      <c r="F20" s="4">
        <f>Обработка!$H$69</f>
        <v>3</v>
      </c>
      <c r="G20" s="9">
        <f>(D20+E20)*INDEX(Настройки!$G$10:$G$16,MATCH($C20,Настройки!$A$10:$A$16,0))</f>
        <v>0</v>
      </c>
      <c r="H20" s="9">
        <f>F20*INDEX(Настройки!$H$10:$H$16,MATCH($C20,Настройки!$A$10:$A$16,0))</f>
        <v>9</v>
      </c>
      <c r="I20" s="9">
        <f>F20*INDEX(Настройки!$I$10:$I$16,MATCH($C20,Настройки!$A$10:$A$16,0))</f>
        <v>18</v>
      </c>
      <c r="J20" s="9">
        <f>F20*INDEX(Настройки!$J$10:$J$16,MATCH($C20,Настройки!$A$10:$A$16,0))</f>
        <v>9</v>
      </c>
      <c r="K20" s="9">
        <f t="shared" si="0"/>
        <v>36</v>
      </c>
    </row>
    <row r="21" spans="1:11" x14ac:dyDescent="0.3">
      <c r="A21" s="6">
        <f>Обработка!$A$70</f>
        <v>46281</v>
      </c>
      <c r="B21" s="7" t="str">
        <f>Обработка!$B$70</f>
        <v>Завалишин Д.Л.</v>
      </c>
      <c r="C21" s="7" t="str">
        <f>Обработка!$C$70</f>
        <v>Г 3500</v>
      </c>
      <c r="D21" s="7">
        <f>Обработка!$E$70</f>
        <v>0</v>
      </c>
      <c r="E21" s="7">
        <f>Обработка!$F$70</f>
        <v>0</v>
      </c>
      <c r="F21" s="7">
        <f>Обработка!$H$70</f>
        <v>0</v>
      </c>
      <c r="G21" s="8">
        <f>(D21+E21)*INDEX(Настройки!$G$10:$G$16,MATCH($C21,Настройки!$A$10:$A$16,0))</f>
        <v>0</v>
      </c>
      <c r="H21" s="8">
        <f>F21*INDEX(Настройки!$H$10:$H$16,MATCH($C21,Настройки!$A$10:$A$16,0))</f>
        <v>0</v>
      </c>
      <c r="I21" s="8">
        <f>F21*INDEX(Настройки!$I$10:$I$16,MATCH($C21,Настройки!$A$10:$A$16,0))</f>
        <v>0</v>
      </c>
      <c r="J21" s="8">
        <f>F21*INDEX(Настройки!$J$10:$J$16,MATCH($C21,Настройки!$A$10:$A$16,0))</f>
        <v>0</v>
      </c>
      <c r="K21" s="8">
        <f t="shared" si="0"/>
        <v>0</v>
      </c>
    </row>
    <row r="22" spans="1:11" x14ac:dyDescent="0.3">
      <c r="A22" s="3">
        <f>Обработка!$A$71</f>
        <v>46281</v>
      </c>
      <c r="B22" s="4" t="str">
        <f>Обработка!$B$71</f>
        <v>Завалишин Д.Л.</v>
      </c>
      <c r="C22" s="4" t="str">
        <f>Обработка!$C$71</f>
        <v>Г 1800</v>
      </c>
      <c r="D22" s="4">
        <f>Обработка!$E$71</f>
        <v>0</v>
      </c>
      <c r="E22" s="4">
        <f>Обработка!$F$71</f>
        <v>0</v>
      </c>
      <c r="F22" s="4">
        <f>Обработка!$H$71</f>
        <v>13</v>
      </c>
      <c r="G22" s="9">
        <f>(D22+E22)*INDEX(Настройки!$G$10:$G$16,MATCH($C22,Настройки!$A$10:$A$16,0))</f>
        <v>0</v>
      </c>
      <c r="H22" s="9">
        <f>F22*INDEX(Настройки!$H$10:$H$16,MATCH($C22,Настройки!$A$10:$A$16,0))</f>
        <v>52</v>
      </c>
      <c r="I22" s="9">
        <f>F22*INDEX(Настройки!$I$10:$I$16,MATCH($C22,Настройки!$A$10:$A$16,0))</f>
        <v>156</v>
      </c>
      <c r="J22" s="9">
        <f>F22*INDEX(Настройки!$J$10:$J$16,MATCH($C22,Настройки!$A$10:$A$16,0))</f>
        <v>91</v>
      </c>
      <c r="K22" s="9">
        <f t="shared" si="0"/>
        <v>299</v>
      </c>
    </row>
    <row r="23" spans="1:11" x14ac:dyDescent="0.3">
      <c r="A23" s="6">
        <f>Обработка!$A$72</f>
        <v>46281</v>
      </c>
      <c r="B23" s="7" t="str">
        <f>Обработка!$B$72</f>
        <v>Завалишин Д.Л.</v>
      </c>
      <c r="C23" s="7" t="str">
        <f>Обработка!$C$72</f>
        <v>Г 800</v>
      </c>
      <c r="D23" s="7">
        <f>Обработка!$E$72</f>
        <v>0</v>
      </c>
      <c r="E23" s="7">
        <f>Обработка!$F$72</f>
        <v>0</v>
      </c>
      <c r="F23" s="7">
        <f>Обработка!$H$72</f>
        <v>12</v>
      </c>
      <c r="G23" s="8">
        <f>(D23+E23)*INDEX(Настройки!$G$10:$G$16,MATCH($C23,Настройки!$A$10:$A$16,0))</f>
        <v>0</v>
      </c>
      <c r="H23" s="8">
        <f>F23*INDEX(Настройки!$H$10:$H$16,MATCH($C23,Настройки!$A$10:$A$16,0))</f>
        <v>48</v>
      </c>
      <c r="I23" s="8">
        <f>F23*INDEX(Настройки!$I$10:$I$16,MATCH($C23,Настройки!$A$10:$A$16,0))</f>
        <v>144</v>
      </c>
      <c r="J23" s="8">
        <f>F23*INDEX(Настройки!$J$10:$J$16,MATCH($C23,Настройки!$A$10:$A$16,0))</f>
        <v>84</v>
      </c>
      <c r="K23" s="8">
        <f t="shared" si="0"/>
        <v>276</v>
      </c>
    </row>
    <row r="24" spans="1:11" x14ac:dyDescent="0.3">
      <c r="A24" s="3">
        <f>Обработка!$A$73</f>
        <v>46281</v>
      </c>
      <c r="B24" s="4" t="str">
        <f>Обработка!$B$73</f>
        <v>Завалишин Д.Л.</v>
      </c>
      <c r="C24" s="4" t="str">
        <f>Обработка!$C$73</f>
        <v>Ми-К</v>
      </c>
      <c r="D24" s="4">
        <f>Обработка!$E$73</f>
        <v>0</v>
      </c>
      <c r="E24" s="4">
        <f>Обработка!$F$73</f>
        <v>0</v>
      </c>
      <c r="F24" s="4">
        <f>Обработка!$H$73</f>
        <v>0</v>
      </c>
      <c r="G24" s="9">
        <f>(D24+E24)*INDEX(Настройки!$G$10:$G$16,MATCH($C24,Настройки!$A$10:$A$16,0))</f>
        <v>0</v>
      </c>
      <c r="H24" s="9">
        <f>F24*INDEX(Настройки!$H$10:$H$16,MATCH($C24,Настройки!$A$10:$A$16,0))</f>
        <v>0</v>
      </c>
      <c r="I24" s="9">
        <f>F24*INDEX(Настройки!$I$10:$I$16,MATCH($C24,Настройки!$A$10:$A$16,0))</f>
        <v>0</v>
      </c>
      <c r="J24" s="9">
        <f>F24*INDEX(Настройки!$J$10:$J$16,MATCH($C24,Настройки!$A$10:$A$16,0))</f>
        <v>0</v>
      </c>
      <c r="K24" s="9">
        <f t="shared" si="0"/>
        <v>0</v>
      </c>
    </row>
    <row r="25" spans="1:11" x14ac:dyDescent="0.3">
      <c r="A25" s="6">
        <f>Обработка!$A$74</f>
        <v>46281</v>
      </c>
      <c r="B25" s="7" t="str">
        <f>Обработка!$B$74</f>
        <v>Завалишин Д.Л.</v>
      </c>
      <c r="C25" s="7" t="str">
        <f>Обработка!$C$74</f>
        <v>Ми-П</v>
      </c>
      <c r="D25" s="7">
        <f>Обработка!$E$74</f>
        <v>0</v>
      </c>
      <c r="E25" s="7">
        <f>Обработка!$F$74</f>
        <v>0</v>
      </c>
      <c r="F25" s="7">
        <f>Обработка!$H$74</f>
        <v>1</v>
      </c>
      <c r="G25" s="8">
        <f>(D25+E25)*INDEX(Настройки!$G$10:$G$16,MATCH($C25,Настройки!$A$10:$A$16,0))</f>
        <v>0</v>
      </c>
      <c r="H25" s="8">
        <f>F25*INDEX(Настройки!$H$10:$H$16,MATCH($C25,Настройки!$A$10:$A$16,0))</f>
        <v>2</v>
      </c>
      <c r="I25" s="8">
        <f>F25*INDEX(Настройки!$I$10:$I$16,MATCH($C25,Настройки!$A$10:$A$16,0))</f>
        <v>5</v>
      </c>
      <c r="J25" s="8">
        <f>F25*INDEX(Настройки!$J$10:$J$16,MATCH($C25,Настройки!$A$10:$A$16,0))</f>
        <v>5</v>
      </c>
      <c r="K25" s="8">
        <f t="shared" si="0"/>
        <v>12</v>
      </c>
    </row>
    <row r="26" spans="1:11" x14ac:dyDescent="0.3">
      <c r="A26" s="3">
        <f>Обработка!$A$75</f>
        <v>46282</v>
      </c>
      <c r="B26" s="4" t="str">
        <f>Обработка!$B$75</f>
        <v>Завалишин Д.Л.</v>
      </c>
      <c r="C26" s="4" t="str">
        <f>Обработка!$C$75</f>
        <v>АК-10</v>
      </c>
      <c r="D26" s="4">
        <f>Обработка!$E$75</f>
        <v>0</v>
      </c>
      <c r="E26" s="4">
        <f>Обработка!$F$75</f>
        <v>0</v>
      </c>
      <c r="F26" s="4">
        <f>Обработка!$H$75</f>
        <v>1</v>
      </c>
      <c r="G26" s="9">
        <f>(D26+E26)*INDEX(Настройки!$G$10:$G$16,MATCH($C26,Настройки!$A$10:$A$16,0))</f>
        <v>0</v>
      </c>
      <c r="H26" s="9">
        <f>F26*INDEX(Настройки!$H$10:$H$16,MATCH($C26,Настройки!$A$10:$A$16,0))</f>
        <v>3</v>
      </c>
      <c r="I26" s="9">
        <f>F26*INDEX(Настройки!$I$10:$I$16,MATCH($C26,Настройки!$A$10:$A$16,0))</f>
        <v>6</v>
      </c>
      <c r="J26" s="9">
        <f>F26*INDEX(Настройки!$J$10:$J$16,MATCH($C26,Настройки!$A$10:$A$16,0))</f>
        <v>3</v>
      </c>
      <c r="K26" s="9">
        <f t="shared" si="0"/>
        <v>12</v>
      </c>
    </row>
    <row r="27" spans="1:11" x14ac:dyDescent="0.3">
      <c r="A27" s="6">
        <f>Обработка!$A$76</f>
        <v>46282</v>
      </c>
      <c r="B27" s="7" t="str">
        <f>Обработка!$B$76</f>
        <v>Завалишин Д.Л.</v>
      </c>
      <c r="C27" s="7" t="str">
        <f>Обработка!$C$76</f>
        <v>АК-15</v>
      </c>
      <c r="D27" s="7">
        <f>Обработка!$E$76</f>
        <v>0</v>
      </c>
      <c r="E27" s="7">
        <f>Обработка!$F$76</f>
        <v>0</v>
      </c>
      <c r="F27" s="7">
        <f>Обработка!$H$76</f>
        <v>3</v>
      </c>
      <c r="G27" s="8">
        <f>(D27+E27)*INDEX(Настройки!$G$10:$G$16,MATCH($C27,Настройки!$A$10:$A$16,0))</f>
        <v>0</v>
      </c>
      <c r="H27" s="8">
        <f>F27*INDEX(Настройки!$H$10:$H$16,MATCH($C27,Настройки!$A$10:$A$16,0))</f>
        <v>9</v>
      </c>
      <c r="I27" s="8">
        <f>F27*INDEX(Настройки!$I$10:$I$16,MATCH($C27,Настройки!$A$10:$A$16,0))</f>
        <v>18</v>
      </c>
      <c r="J27" s="8">
        <f>F27*INDEX(Настройки!$J$10:$J$16,MATCH($C27,Настройки!$A$10:$A$16,0))</f>
        <v>9</v>
      </c>
      <c r="K27" s="8">
        <f t="shared" si="0"/>
        <v>36</v>
      </c>
    </row>
    <row r="28" spans="1:11" x14ac:dyDescent="0.3">
      <c r="A28" s="3">
        <f>Обработка!$A$77</f>
        <v>46282</v>
      </c>
      <c r="B28" s="4" t="str">
        <f>Обработка!$B$77</f>
        <v>Завалишин Д.Л.</v>
      </c>
      <c r="C28" s="4" t="str">
        <f>Обработка!$C$77</f>
        <v>Г 3500</v>
      </c>
      <c r="D28" s="4">
        <f>Обработка!$E$77</f>
        <v>0</v>
      </c>
      <c r="E28" s="4">
        <f>Обработка!$F$77</f>
        <v>0</v>
      </c>
      <c r="F28" s="4">
        <f>Обработка!$H$77</f>
        <v>0</v>
      </c>
      <c r="G28" s="9">
        <f>(D28+E28)*INDEX(Настройки!$G$10:$G$16,MATCH($C28,Настройки!$A$10:$A$16,0))</f>
        <v>0</v>
      </c>
      <c r="H28" s="9">
        <f>F28*INDEX(Настройки!$H$10:$H$16,MATCH($C28,Настройки!$A$10:$A$16,0))</f>
        <v>0</v>
      </c>
      <c r="I28" s="9">
        <f>F28*INDEX(Настройки!$I$10:$I$16,MATCH($C28,Настройки!$A$10:$A$16,0))</f>
        <v>0</v>
      </c>
      <c r="J28" s="9">
        <f>F28*INDEX(Настройки!$J$10:$J$16,MATCH($C28,Настройки!$A$10:$A$16,0))</f>
        <v>0</v>
      </c>
      <c r="K28" s="9">
        <f t="shared" si="0"/>
        <v>0</v>
      </c>
    </row>
    <row r="29" spans="1:11" x14ac:dyDescent="0.3">
      <c r="A29" s="6">
        <f>Обработка!$A$78</f>
        <v>46282</v>
      </c>
      <c r="B29" s="7" t="str">
        <f>Обработка!$B$78</f>
        <v>Завалишин Д.Л.</v>
      </c>
      <c r="C29" s="7" t="str">
        <f>Обработка!$C$78</f>
        <v>Г 1800</v>
      </c>
      <c r="D29" s="7">
        <f>Обработка!$E$78</f>
        <v>0</v>
      </c>
      <c r="E29" s="7">
        <f>Обработка!$F$78</f>
        <v>0</v>
      </c>
      <c r="F29" s="7">
        <f>Обработка!$H$78</f>
        <v>13</v>
      </c>
      <c r="G29" s="8">
        <f>(D29+E29)*INDEX(Настройки!$G$10:$G$16,MATCH($C29,Настройки!$A$10:$A$16,0))</f>
        <v>0</v>
      </c>
      <c r="H29" s="8">
        <f>F29*INDEX(Настройки!$H$10:$H$16,MATCH($C29,Настройки!$A$10:$A$16,0))</f>
        <v>52</v>
      </c>
      <c r="I29" s="8">
        <f>F29*INDEX(Настройки!$I$10:$I$16,MATCH($C29,Настройки!$A$10:$A$16,0))</f>
        <v>156</v>
      </c>
      <c r="J29" s="8">
        <f>F29*INDEX(Настройки!$J$10:$J$16,MATCH($C29,Настройки!$A$10:$A$16,0))</f>
        <v>91</v>
      </c>
      <c r="K29" s="8">
        <f t="shared" si="0"/>
        <v>299</v>
      </c>
    </row>
    <row r="30" spans="1:11" x14ac:dyDescent="0.3">
      <c r="A30" s="3">
        <f>Обработка!$A$79</f>
        <v>46282</v>
      </c>
      <c r="B30" s="4" t="str">
        <f>Обработка!$B$79</f>
        <v>Завалишин Д.Л.</v>
      </c>
      <c r="C30" s="4" t="str">
        <f>Обработка!$C$79</f>
        <v>Г 800</v>
      </c>
      <c r="D30" s="4">
        <f>Обработка!$E$79</f>
        <v>0</v>
      </c>
      <c r="E30" s="4">
        <f>Обработка!$F$79</f>
        <v>0</v>
      </c>
      <c r="F30" s="4">
        <f>Обработка!$H$79</f>
        <v>3</v>
      </c>
      <c r="G30" s="9">
        <f>(D30+E30)*INDEX(Настройки!$G$10:$G$16,MATCH($C30,Настройки!$A$10:$A$16,0))</f>
        <v>0</v>
      </c>
      <c r="H30" s="9">
        <f>F30*INDEX(Настройки!$H$10:$H$16,MATCH($C30,Настройки!$A$10:$A$16,0))</f>
        <v>12</v>
      </c>
      <c r="I30" s="9">
        <f>F30*INDEX(Настройки!$I$10:$I$16,MATCH($C30,Настройки!$A$10:$A$16,0))</f>
        <v>36</v>
      </c>
      <c r="J30" s="9">
        <f>F30*INDEX(Настройки!$J$10:$J$16,MATCH($C30,Настройки!$A$10:$A$16,0))</f>
        <v>21</v>
      </c>
      <c r="K30" s="9">
        <f t="shared" si="0"/>
        <v>69</v>
      </c>
    </row>
    <row r="31" spans="1:11" x14ac:dyDescent="0.3">
      <c r="A31" s="6">
        <f>Обработка!$A$80</f>
        <v>46282</v>
      </c>
      <c r="B31" s="7" t="str">
        <f>Обработка!$B$80</f>
        <v>Завалишин Д.Л.</v>
      </c>
      <c r="C31" s="7" t="str">
        <f>Обработка!$C$80</f>
        <v>Ми-К</v>
      </c>
      <c r="D31" s="7">
        <f>Обработка!$E$80</f>
        <v>0</v>
      </c>
      <c r="E31" s="7">
        <f>Обработка!$F$80</f>
        <v>0</v>
      </c>
      <c r="F31" s="7">
        <f>Обработка!$H$80</f>
        <v>1</v>
      </c>
      <c r="G31" s="8">
        <f>(D31+E31)*INDEX(Настройки!$G$10:$G$16,MATCH($C31,Настройки!$A$10:$A$16,0))</f>
        <v>0</v>
      </c>
      <c r="H31" s="8">
        <f>F31*INDEX(Настройки!$H$10:$H$16,MATCH($C31,Настройки!$A$10:$A$16,0))</f>
        <v>2</v>
      </c>
      <c r="I31" s="8">
        <f>F31*INDEX(Настройки!$I$10:$I$16,MATCH($C31,Настройки!$A$10:$A$16,0))</f>
        <v>5</v>
      </c>
      <c r="J31" s="8">
        <f>F31*INDEX(Настройки!$J$10:$J$16,MATCH($C31,Настройки!$A$10:$A$16,0))</f>
        <v>5</v>
      </c>
      <c r="K31" s="8">
        <f t="shared" si="0"/>
        <v>12</v>
      </c>
    </row>
    <row r="32" spans="1:11" x14ac:dyDescent="0.3">
      <c r="A32" s="3">
        <f>Обработка!$A$81</f>
        <v>46282</v>
      </c>
      <c r="B32" s="4" t="str">
        <f>Обработка!$B$81</f>
        <v>Завалишин Д.Л.</v>
      </c>
      <c r="C32" s="4" t="str">
        <f>Обработка!$C$81</f>
        <v>Ми-П</v>
      </c>
      <c r="D32" s="4">
        <f>Обработка!$E$81</f>
        <v>0</v>
      </c>
      <c r="E32" s="4">
        <f>Обработка!$F$81</f>
        <v>0</v>
      </c>
      <c r="F32" s="4">
        <f>Обработка!$H$81</f>
        <v>2</v>
      </c>
      <c r="G32" s="9">
        <f>(D32+E32)*INDEX(Настройки!$G$10:$G$16,MATCH($C32,Настройки!$A$10:$A$16,0))</f>
        <v>0</v>
      </c>
      <c r="H32" s="9">
        <f>F32*INDEX(Настройки!$H$10:$H$16,MATCH($C32,Настройки!$A$10:$A$16,0))</f>
        <v>4</v>
      </c>
      <c r="I32" s="9">
        <f>F32*INDEX(Настройки!$I$10:$I$16,MATCH($C32,Настройки!$A$10:$A$16,0))</f>
        <v>10</v>
      </c>
      <c r="J32" s="9">
        <f>F32*INDEX(Настройки!$J$10:$J$16,MATCH($C32,Настройки!$A$10:$A$16,0))</f>
        <v>10</v>
      </c>
      <c r="K32" s="9">
        <f t="shared" si="0"/>
        <v>24</v>
      </c>
    </row>
    <row r="33" spans="1:11" x14ac:dyDescent="0.3">
      <c r="A33" s="6">
        <f>Обработка!$A$82</f>
        <v>46283</v>
      </c>
      <c r="B33" s="7" t="str">
        <f>Обработка!$B$82</f>
        <v>Пузанов Д.В.</v>
      </c>
      <c r="C33" s="7" t="str">
        <f>Обработка!$C$82</f>
        <v>АК-10</v>
      </c>
      <c r="D33" s="7">
        <f>Обработка!$E$82</f>
        <v>0</v>
      </c>
      <c r="E33" s="7">
        <f>Обработка!$F$82</f>
        <v>0</v>
      </c>
      <c r="F33" s="7">
        <f>Обработка!$H$82</f>
        <v>1</v>
      </c>
      <c r="G33" s="8">
        <f>(D33+E33)*INDEX(Настройки!$G$10:$G$16,MATCH($C33,Настройки!$A$10:$A$16,0))</f>
        <v>0</v>
      </c>
      <c r="H33" s="8">
        <f>F33*INDEX(Настройки!$H$10:$H$16,MATCH($C33,Настройки!$A$10:$A$16,0))</f>
        <v>3</v>
      </c>
      <c r="I33" s="8">
        <f>F33*INDEX(Настройки!$I$10:$I$16,MATCH($C33,Настройки!$A$10:$A$16,0))</f>
        <v>6</v>
      </c>
      <c r="J33" s="8">
        <f>F33*INDEX(Настройки!$J$10:$J$16,MATCH($C33,Настройки!$A$10:$A$16,0))</f>
        <v>3</v>
      </c>
      <c r="K33" s="8">
        <f t="shared" si="0"/>
        <v>12</v>
      </c>
    </row>
    <row r="34" spans="1:11" x14ac:dyDescent="0.3">
      <c r="A34" s="3">
        <f>Обработка!$A$83</f>
        <v>46283</v>
      </c>
      <c r="B34" s="4" t="str">
        <f>Обработка!$B$83</f>
        <v>Пузанов Д.В.</v>
      </c>
      <c r="C34" s="4" t="str">
        <f>Обработка!$C$83</f>
        <v>АК-15</v>
      </c>
      <c r="D34" s="4">
        <f>Обработка!$E$83</f>
        <v>0</v>
      </c>
      <c r="E34" s="4">
        <f>Обработка!$F$83</f>
        <v>0</v>
      </c>
      <c r="F34" s="4">
        <f>Обработка!$H$83</f>
        <v>1</v>
      </c>
      <c r="G34" s="9">
        <f>(D34+E34)*INDEX(Настройки!$G$10:$G$16,MATCH($C34,Настройки!$A$10:$A$16,0))</f>
        <v>0</v>
      </c>
      <c r="H34" s="9">
        <f>F34*INDEX(Настройки!$H$10:$H$16,MATCH($C34,Настройки!$A$10:$A$16,0))</f>
        <v>3</v>
      </c>
      <c r="I34" s="9">
        <f>F34*INDEX(Настройки!$I$10:$I$16,MATCH($C34,Настройки!$A$10:$A$16,0))</f>
        <v>6</v>
      </c>
      <c r="J34" s="9">
        <f>F34*INDEX(Настройки!$J$10:$J$16,MATCH($C34,Настройки!$A$10:$A$16,0))</f>
        <v>3</v>
      </c>
      <c r="K34" s="9">
        <f t="shared" si="0"/>
        <v>12</v>
      </c>
    </row>
    <row r="35" spans="1:11" x14ac:dyDescent="0.3">
      <c r="A35" s="6">
        <f>Обработка!$A$84</f>
        <v>46283</v>
      </c>
      <c r="B35" s="7" t="str">
        <f>Обработка!$B$84</f>
        <v>Пузанов Д.В.</v>
      </c>
      <c r="C35" s="7" t="str">
        <f>Обработка!$C$84</f>
        <v>Г 3500</v>
      </c>
      <c r="D35" s="7">
        <f>Обработка!$E$84</f>
        <v>0</v>
      </c>
      <c r="E35" s="7">
        <f>Обработка!$F$84</f>
        <v>0</v>
      </c>
      <c r="F35" s="7">
        <f>Обработка!$H$84</f>
        <v>1</v>
      </c>
      <c r="G35" s="8">
        <f>(D35+E35)*INDEX(Настройки!$G$10:$G$16,MATCH($C35,Настройки!$A$10:$A$16,0))</f>
        <v>0</v>
      </c>
      <c r="H35" s="8">
        <f>F35*INDEX(Настройки!$H$10:$H$16,MATCH($C35,Настройки!$A$10:$A$16,0))</f>
        <v>6</v>
      </c>
      <c r="I35" s="8">
        <f>F35*INDEX(Настройки!$I$10:$I$16,MATCH($C35,Настройки!$A$10:$A$16,0))</f>
        <v>16</v>
      </c>
      <c r="J35" s="8">
        <f>F35*INDEX(Настройки!$J$10:$J$16,MATCH($C35,Настройки!$A$10:$A$16,0))</f>
        <v>12</v>
      </c>
      <c r="K35" s="8">
        <f t="shared" si="0"/>
        <v>34</v>
      </c>
    </row>
    <row r="36" spans="1:11" x14ac:dyDescent="0.3">
      <c r="A36" s="3">
        <f>Обработка!$A$85</f>
        <v>46283</v>
      </c>
      <c r="B36" s="4" t="str">
        <f>Обработка!$B$85</f>
        <v>Пузанов Д.В.</v>
      </c>
      <c r="C36" s="4" t="str">
        <f>Обработка!$C$85</f>
        <v>Г 1800</v>
      </c>
      <c r="D36" s="4">
        <f>Обработка!$E$85</f>
        <v>0</v>
      </c>
      <c r="E36" s="4">
        <f>Обработка!$F$85</f>
        <v>0</v>
      </c>
      <c r="F36" s="4">
        <f>Обработка!$H$85</f>
        <v>13</v>
      </c>
      <c r="G36" s="9">
        <f>(D36+E36)*INDEX(Настройки!$G$10:$G$16,MATCH($C36,Настройки!$A$10:$A$16,0))</f>
        <v>0</v>
      </c>
      <c r="H36" s="9">
        <f>F36*INDEX(Настройки!$H$10:$H$16,MATCH($C36,Настройки!$A$10:$A$16,0))</f>
        <v>52</v>
      </c>
      <c r="I36" s="9">
        <f>F36*INDEX(Настройки!$I$10:$I$16,MATCH($C36,Настройки!$A$10:$A$16,0))</f>
        <v>156</v>
      </c>
      <c r="J36" s="9">
        <f>F36*INDEX(Настройки!$J$10:$J$16,MATCH($C36,Настройки!$A$10:$A$16,0))</f>
        <v>91</v>
      </c>
      <c r="K36" s="9">
        <f t="shared" si="0"/>
        <v>299</v>
      </c>
    </row>
    <row r="37" spans="1:11" x14ac:dyDescent="0.3">
      <c r="A37" s="6">
        <f>Обработка!$A$86</f>
        <v>46283</v>
      </c>
      <c r="B37" s="7" t="str">
        <f>Обработка!$B$86</f>
        <v>Пузанов Д.В.</v>
      </c>
      <c r="C37" s="7" t="str">
        <f>Обработка!$C$86</f>
        <v>Г 800</v>
      </c>
      <c r="D37" s="7">
        <f>Обработка!$E$86</f>
        <v>0</v>
      </c>
      <c r="E37" s="7">
        <f>Обработка!$F$86</f>
        <v>0</v>
      </c>
      <c r="F37" s="7">
        <f>Обработка!$H$86</f>
        <v>4</v>
      </c>
      <c r="G37" s="8">
        <f>(D37+E37)*INDEX(Настройки!$G$10:$G$16,MATCH($C37,Настройки!$A$10:$A$16,0))</f>
        <v>0</v>
      </c>
      <c r="H37" s="8">
        <f>F37*INDEX(Настройки!$H$10:$H$16,MATCH($C37,Настройки!$A$10:$A$16,0))</f>
        <v>16</v>
      </c>
      <c r="I37" s="8">
        <f>F37*INDEX(Настройки!$I$10:$I$16,MATCH($C37,Настройки!$A$10:$A$16,0))</f>
        <v>48</v>
      </c>
      <c r="J37" s="8">
        <f>F37*INDEX(Настройки!$J$10:$J$16,MATCH($C37,Настройки!$A$10:$A$16,0))</f>
        <v>28</v>
      </c>
      <c r="K37" s="8">
        <f t="shared" ref="K37:K68" si="1">SUM(G37:J37)</f>
        <v>92</v>
      </c>
    </row>
    <row r="38" spans="1:11" x14ac:dyDescent="0.3">
      <c r="A38" s="3">
        <f>Обработка!$A$87</f>
        <v>46283</v>
      </c>
      <c r="B38" s="4" t="str">
        <f>Обработка!$B$87</f>
        <v>Пузанов Д.В.</v>
      </c>
      <c r="C38" s="4" t="str">
        <f>Обработка!$C$87</f>
        <v>Ми-К</v>
      </c>
      <c r="D38" s="4">
        <f>Обработка!$E$87</f>
        <v>0</v>
      </c>
      <c r="E38" s="4">
        <f>Обработка!$F$87</f>
        <v>0</v>
      </c>
      <c r="F38" s="4">
        <f>Обработка!$H$87</f>
        <v>0</v>
      </c>
      <c r="G38" s="9">
        <f>(D38+E38)*INDEX(Настройки!$G$10:$G$16,MATCH($C38,Настройки!$A$10:$A$16,0))</f>
        <v>0</v>
      </c>
      <c r="H38" s="9">
        <f>F38*INDEX(Настройки!$H$10:$H$16,MATCH($C38,Настройки!$A$10:$A$16,0))</f>
        <v>0</v>
      </c>
      <c r="I38" s="9">
        <f>F38*INDEX(Настройки!$I$10:$I$16,MATCH($C38,Настройки!$A$10:$A$16,0))</f>
        <v>0</v>
      </c>
      <c r="J38" s="9">
        <f>F38*INDEX(Настройки!$J$10:$J$16,MATCH($C38,Настройки!$A$10:$A$16,0))</f>
        <v>0</v>
      </c>
      <c r="K38" s="9">
        <f t="shared" si="1"/>
        <v>0</v>
      </c>
    </row>
    <row r="39" spans="1:11" x14ac:dyDescent="0.3">
      <c r="A39" s="6">
        <f>Обработка!$A$88</f>
        <v>46283</v>
      </c>
      <c r="B39" s="7" t="str">
        <f>Обработка!$B$88</f>
        <v>Пузанов Д.В.</v>
      </c>
      <c r="C39" s="7" t="str">
        <f>Обработка!$C$88</f>
        <v>Ми-П</v>
      </c>
      <c r="D39" s="7">
        <f>Обработка!$E$88</f>
        <v>0</v>
      </c>
      <c r="E39" s="7">
        <f>Обработка!$F$88</f>
        <v>0</v>
      </c>
      <c r="F39" s="7">
        <f>Обработка!$H$88</f>
        <v>0</v>
      </c>
      <c r="G39" s="8">
        <f>(D39+E39)*INDEX(Настройки!$G$10:$G$16,MATCH($C39,Настройки!$A$10:$A$16,0))</f>
        <v>0</v>
      </c>
      <c r="H39" s="8">
        <f>F39*INDEX(Настройки!$H$10:$H$16,MATCH($C39,Настройки!$A$10:$A$16,0))</f>
        <v>0</v>
      </c>
      <c r="I39" s="8">
        <f>F39*INDEX(Настройки!$I$10:$I$16,MATCH($C39,Настройки!$A$10:$A$16,0))</f>
        <v>0</v>
      </c>
      <c r="J39" s="8">
        <f>F39*INDEX(Настройки!$J$10:$J$16,MATCH($C39,Настройки!$A$10:$A$16,0))</f>
        <v>0</v>
      </c>
      <c r="K39" s="8">
        <f t="shared" si="1"/>
        <v>0</v>
      </c>
    </row>
    <row r="40" spans="1:11" x14ac:dyDescent="0.3">
      <c r="A40" s="3">
        <f>Обработка!$A$89</f>
        <v>46284</v>
      </c>
      <c r="B40" s="4" t="str">
        <f>Обработка!$B$89</f>
        <v>Завалишин Д.Л.</v>
      </c>
      <c r="C40" s="4" t="str">
        <f>Обработка!$C$89</f>
        <v>АК-10</v>
      </c>
      <c r="D40" s="4">
        <f>Обработка!$E$89</f>
        <v>0</v>
      </c>
      <c r="E40" s="4">
        <f>Обработка!$F$89</f>
        <v>0</v>
      </c>
      <c r="F40" s="4">
        <f>Обработка!$H$89</f>
        <v>0</v>
      </c>
      <c r="G40" s="9">
        <f>(D40+E40)*INDEX(Настройки!$G$10:$G$16,MATCH($C40,Настройки!$A$10:$A$16,0))</f>
        <v>0</v>
      </c>
      <c r="H40" s="9">
        <f>F40*INDEX(Настройки!$H$10:$H$16,MATCH($C40,Настройки!$A$10:$A$16,0))</f>
        <v>0</v>
      </c>
      <c r="I40" s="9">
        <f>F40*INDEX(Настройки!$I$10:$I$16,MATCH($C40,Настройки!$A$10:$A$16,0))</f>
        <v>0</v>
      </c>
      <c r="J40" s="9">
        <f>F40*INDEX(Настройки!$J$10:$J$16,MATCH($C40,Настройки!$A$10:$A$16,0))</f>
        <v>0</v>
      </c>
      <c r="K40" s="9">
        <f t="shared" si="1"/>
        <v>0</v>
      </c>
    </row>
    <row r="41" spans="1:11" x14ac:dyDescent="0.3">
      <c r="A41" s="6">
        <f>Обработка!$A$90</f>
        <v>46284</v>
      </c>
      <c r="B41" s="7" t="str">
        <f>Обработка!$B$90</f>
        <v>Завалишин Д.Л.</v>
      </c>
      <c r="C41" s="7" t="str">
        <f>Обработка!$C$90</f>
        <v>АК-15</v>
      </c>
      <c r="D41" s="7">
        <f>Обработка!$E$90</f>
        <v>0</v>
      </c>
      <c r="E41" s="7">
        <f>Обработка!$F$90</f>
        <v>0</v>
      </c>
      <c r="F41" s="7">
        <f>Обработка!$H$90</f>
        <v>0</v>
      </c>
      <c r="G41" s="8">
        <f>(D41+E41)*INDEX(Настройки!$G$10:$G$16,MATCH($C41,Настройки!$A$10:$A$16,0))</f>
        <v>0</v>
      </c>
      <c r="H41" s="8">
        <f>F41*INDEX(Настройки!$H$10:$H$16,MATCH($C41,Настройки!$A$10:$A$16,0))</f>
        <v>0</v>
      </c>
      <c r="I41" s="8">
        <f>F41*INDEX(Настройки!$I$10:$I$16,MATCH($C41,Настройки!$A$10:$A$16,0))</f>
        <v>0</v>
      </c>
      <c r="J41" s="8">
        <f>F41*INDEX(Настройки!$J$10:$J$16,MATCH($C41,Настройки!$A$10:$A$16,0))</f>
        <v>0</v>
      </c>
      <c r="K41" s="8">
        <f t="shared" si="1"/>
        <v>0</v>
      </c>
    </row>
    <row r="42" spans="1:11" x14ac:dyDescent="0.3">
      <c r="A42" s="3">
        <f>Обработка!$A$91</f>
        <v>46284</v>
      </c>
      <c r="B42" s="4" t="str">
        <f>Обработка!$B$91</f>
        <v>Завалишин Д.Л.</v>
      </c>
      <c r="C42" s="4" t="str">
        <f>Обработка!$C$91</f>
        <v>Г 3500</v>
      </c>
      <c r="D42" s="4">
        <f>Обработка!$E$91</f>
        <v>0</v>
      </c>
      <c r="E42" s="4">
        <f>Обработка!$F$91</f>
        <v>0</v>
      </c>
      <c r="F42" s="4">
        <f>Обработка!$H$91</f>
        <v>0</v>
      </c>
      <c r="G42" s="9">
        <f>(D42+E42)*INDEX(Настройки!$G$10:$G$16,MATCH($C42,Настройки!$A$10:$A$16,0))</f>
        <v>0</v>
      </c>
      <c r="H42" s="9">
        <f>F42*INDEX(Настройки!$H$10:$H$16,MATCH($C42,Настройки!$A$10:$A$16,0))</f>
        <v>0</v>
      </c>
      <c r="I42" s="9">
        <f>F42*INDEX(Настройки!$I$10:$I$16,MATCH($C42,Настройки!$A$10:$A$16,0))</f>
        <v>0</v>
      </c>
      <c r="J42" s="9">
        <f>F42*INDEX(Настройки!$J$10:$J$16,MATCH($C42,Настройки!$A$10:$A$16,0))</f>
        <v>0</v>
      </c>
      <c r="K42" s="9">
        <f t="shared" si="1"/>
        <v>0</v>
      </c>
    </row>
    <row r="43" spans="1:11" x14ac:dyDescent="0.3">
      <c r="A43" s="6">
        <f>Обработка!$A$92</f>
        <v>46284</v>
      </c>
      <c r="B43" s="7" t="str">
        <f>Обработка!$B$92</f>
        <v>Завалишин Д.Л.</v>
      </c>
      <c r="C43" s="7" t="str">
        <f>Обработка!$C$92</f>
        <v>Г 1800</v>
      </c>
      <c r="D43" s="7">
        <f>Обработка!$E$92</f>
        <v>0</v>
      </c>
      <c r="E43" s="7">
        <f>Обработка!$F$92</f>
        <v>0</v>
      </c>
      <c r="F43" s="7">
        <f>Обработка!$H$92</f>
        <v>15</v>
      </c>
      <c r="G43" s="8">
        <f>(D43+E43)*INDEX(Настройки!$G$10:$G$16,MATCH($C43,Настройки!$A$10:$A$16,0))</f>
        <v>0</v>
      </c>
      <c r="H43" s="8">
        <f>F43*INDEX(Настройки!$H$10:$H$16,MATCH($C43,Настройки!$A$10:$A$16,0))</f>
        <v>60</v>
      </c>
      <c r="I43" s="8">
        <f>F43*INDEX(Настройки!$I$10:$I$16,MATCH($C43,Настройки!$A$10:$A$16,0))</f>
        <v>180</v>
      </c>
      <c r="J43" s="8">
        <f>F43*INDEX(Настройки!$J$10:$J$16,MATCH($C43,Настройки!$A$10:$A$16,0))</f>
        <v>105</v>
      </c>
      <c r="K43" s="8">
        <f t="shared" si="1"/>
        <v>345</v>
      </c>
    </row>
    <row r="44" spans="1:11" x14ac:dyDescent="0.3">
      <c r="A44" s="3">
        <f>Обработка!$A$93</f>
        <v>46284</v>
      </c>
      <c r="B44" s="4" t="str">
        <f>Обработка!$B$93</f>
        <v>Завалишин Д.Л.</v>
      </c>
      <c r="C44" s="4" t="str">
        <f>Обработка!$C$93</f>
        <v>Г 800</v>
      </c>
      <c r="D44" s="4">
        <f>Обработка!$E$93</f>
        <v>0</v>
      </c>
      <c r="E44" s="4">
        <f>Обработка!$F$93</f>
        <v>0</v>
      </c>
      <c r="F44" s="4">
        <f>Обработка!$H$93</f>
        <v>7</v>
      </c>
      <c r="G44" s="9">
        <f>(D44+E44)*INDEX(Настройки!$G$10:$G$16,MATCH($C44,Настройки!$A$10:$A$16,0))</f>
        <v>0</v>
      </c>
      <c r="H44" s="9">
        <f>F44*INDEX(Настройки!$H$10:$H$16,MATCH($C44,Настройки!$A$10:$A$16,0))</f>
        <v>28</v>
      </c>
      <c r="I44" s="9">
        <f>F44*INDEX(Настройки!$I$10:$I$16,MATCH($C44,Настройки!$A$10:$A$16,0))</f>
        <v>84</v>
      </c>
      <c r="J44" s="9">
        <f>F44*INDEX(Настройки!$J$10:$J$16,MATCH($C44,Настройки!$A$10:$A$16,0))</f>
        <v>49</v>
      </c>
      <c r="K44" s="9">
        <f t="shared" si="1"/>
        <v>161</v>
      </c>
    </row>
    <row r="45" spans="1:11" x14ac:dyDescent="0.3">
      <c r="A45" s="6">
        <f>Обработка!$A$94</f>
        <v>46284</v>
      </c>
      <c r="B45" s="7" t="str">
        <f>Обработка!$B$94</f>
        <v>Завалишин Д.Л.</v>
      </c>
      <c r="C45" s="7" t="str">
        <f>Обработка!$C$94</f>
        <v>Ми-К</v>
      </c>
      <c r="D45" s="7">
        <f>Обработка!$E$94</f>
        <v>0</v>
      </c>
      <c r="E45" s="7">
        <f>Обработка!$F$94</f>
        <v>0</v>
      </c>
      <c r="F45" s="7">
        <f>Обработка!$H$94</f>
        <v>0</v>
      </c>
      <c r="G45" s="8">
        <f>(D45+E45)*INDEX(Настройки!$G$10:$G$16,MATCH($C45,Настройки!$A$10:$A$16,0))</f>
        <v>0</v>
      </c>
      <c r="H45" s="8">
        <f>F45*INDEX(Настройки!$H$10:$H$16,MATCH($C45,Настройки!$A$10:$A$16,0))</f>
        <v>0</v>
      </c>
      <c r="I45" s="8">
        <f>F45*INDEX(Настройки!$I$10:$I$16,MATCH($C45,Настройки!$A$10:$A$16,0))</f>
        <v>0</v>
      </c>
      <c r="J45" s="8">
        <f>F45*INDEX(Настройки!$J$10:$J$16,MATCH($C45,Настройки!$A$10:$A$16,0))</f>
        <v>0</v>
      </c>
      <c r="K45" s="8">
        <f t="shared" si="1"/>
        <v>0</v>
      </c>
    </row>
    <row r="46" spans="1:11" x14ac:dyDescent="0.3">
      <c r="A46" s="3">
        <f>Обработка!$A$95</f>
        <v>46284</v>
      </c>
      <c r="B46" s="4" t="str">
        <f>Обработка!$B$95</f>
        <v>Завалишин Д.Л.</v>
      </c>
      <c r="C46" s="4" t="str">
        <f>Обработка!$C$95</f>
        <v>Ми-П</v>
      </c>
      <c r="D46" s="4">
        <f>Обработка!$E$95</f>
        <v>0</v>
      </c>
      <c r="E46" s="4">
        <f>Обработка!$F$95</f>
        <v>0</v>
      </c>
      <c r="F46" s="4">
        <f>Обработка!$H$95</f>
        <v>0</v>
      </c>
      <c r="G46" s="9">
        <f>(D46+E46)*INDEX(Настройки!$G$10:$G$16,MATCH($C46,Настройки!$A$10:$A$16,0))</f>
        <v>0</v>
      </c>
      <c r="H46" s="9">
        <f>F46*INDEX(Настройки!$H$10:$H$16,MATCH($C46,Настройки!$A$10:$A$16,0))</f>
        <v>0</v>
      </c>
      <c r="I46" s="9">
        <f>F46*INDEX(Настройки!$I$10:$I$16,MATCH($C46,Настройки!$A$10:$A$16,0))</f>
        <v>0</v>
      </c>
      <c r="J46" s="9">
        <f>F46*INDEX(Настройки!$J$10:$J$16,MATCH($C46,Настройки!$A$10:$A$16,0))</f>
        <v>0</v>
      </c>
      <c r="K46" s="9">
        <f t="shared" si="1"/>
        <v>0</v>
      </c>
    </row>
    <row r="47" spans="1:11" x14ac:dyDescent="0.3">
      <c r="A47" s="6">
        <f>Обработка!$A$96</f>
        <v>46285</v>
      </c>
      <c r="B47" s="7" t="str">
        <f>Обработка!$B$96</f>
        <v>Завалишин Д.Л.</v>
      </c>
      <c r="C47" s="7" t="str">
        <f>Обработка!$C$96</f>
        <v>АК-10</v>
      </c>
      <c r="D47" s="7">
        <f>Обработка!$E$96</f>
        <v>0</v>
      </c>
      <c r="E47" s="7">
        <f>Обработка!$F$96</f>
        <v>0</v>
      </c>
      <c r="F47" s="7">
        <f>Обработка!$H$96</f>
        <v>3</v>
      </c>
      <c r="G47" s="8">
        <f>(D47+E47)*INDEX(Настройки!$G$10:$G$16,MATCH($C47,Настройки!$A$10:$A$16,0))</f>
        <v>0</v>
      </c>
      <c r="H47" s="8">
        <f>F47*INDEX(Настройки!$H$10:$H$16,MATCH($C47,Настройки!$A$10:$A$16,0))</f>
        <v>9</v>
      </c>
      <c r="I47" s="8">
        <f>F47*INDEX(Настройки!$I$10:$I$16,MATCH($C47,Настройки!$A$10:$A$16,0))</f>
        <v>18</v>
      </c>
      <c r="J47" s="8">
        <f>F47*INDEX(Настройки!$J$10:$J$16,MATCH($C47,Настройки!$A$10:$A$16,0))</f>
        <v>9</v>
      </c>
      <c r="K47" s="8">
        <f t="shared" si="1"/>
        <v>36</v>
      </c>
    </row>
    <row r="48" spans="1:11" x14ac:dyDescent="0.3">
      <c r="A48" s="3">
        <f>Обработка!$A$97</f>
        <v>46285</v>
      </c>
      <c r="B48" s="4" t="str">
        <f>Обработка!$B$97</f>
        <v>Завалишин Д.Л.</v>
      </c>
      <c r="C48" s="4" t="str">
        <f>Обработка!$C$97</f>
        <v>АК-15</v>
      </c>
      <c r="D48" s="4">
        <f>Обработка!$E$97</f>
        <v>0</v>
      </c>
      <c r="E48" s="4">
        <f>Обработка!$F$97</f>
        <v>0</v>
      </c>
      <c r="F48" s="4">
        <f>Обработка!$H$97</f>
        <v>3</v>
      </c>
      <c r="G48" s="9">
        <f>(D48+E48)*INDEX(Настройки!$G$10:$G$16,MATCH($C48,Настройки!$A$10:$A$16,0))</f>
        <v>0</v>
      </c>
      <c r="H48" s="9">
        <f>F48*INDEX(Настройки!$H$10:$H$16,MATCH($C48,Настройки!$A$10:$A$16,0))</f>
        <v>9</v>
      </c>
      <c r="I48" s="9">
        <f>F48*INDEX(Настройки!$I$10:$I$16,MATCH($C48,Настройки!$A$10:$A$16,0))</f>
        <v>18</v>
      </c>
      <c r="J48" s="9">
        <f>F48*INDEX(Настройки!$J$10:$J$16,MATCH($C48,Настройки!$A$10:$A$16,0))</f>
        <v>9</v>
      </c>
      <c r="K48" s="9">
        <f t="shared" si="1"/>
        <v>36</v>
      </c>
    </row>
    <row r="49" spans="1:11" x14ac:dyDescent="0.3">
      <c r="A49" s="6">
        <f>Обработка!$A$98</f>
        <v>46285</v>
      </c>
      <c r="B49" s="7" t="str">
        <f>Обработка!$B$98</f>
        <v>Завалишин Д.Л.</v>
      </c>
      <c r="C49" s="7" t="str">
        <f>Обработка!$C$98</f>
        <v>Г 3500</v>
      </c>
      <c r="D49" s="7">
        <f>Обработка!$E$98</f>
        <v>0</v>
      </c>
      <c r="E49" s="7">
        <f>Обработка!$F$98</f>
        <v>0</v>
      </c>
      <c r="F49" s="7">
        <f>Обработка!$H$98</f>
        <v>2</v>
      </c>
      <c r="G49" s="8">
        <f>(D49+E49)*INDEX(Настройки!$G$10:$G$16,MATCH($C49,Настройки!$A$10:$A$16,0))</f>
        <v>0</v>
      </c>
      <c r="H49" s="8">
        <f>F49*INDEX(Настройки!$H$10:$H$16,MATCH($C49,Настройки!$A$10:$A$16,0))</f>
        <v>12</v>
      </c>
      <c r="I49" s="8">
        <f>F49*INDEX(Настройки!$I$10:$I$16,MATCH($C49,Настройки!$A$10:$A$16,0))</f>
        <v>32</v>
      </c>
      <c r="J49" s="8">
        <f>F49*INDEX(Настройки!$J$10:$J$16,MATCH($C49,Настройки!$A$10:$A$16,0))</f>
        <v>24</v>
      </c>
      <c r="K49" s="8">
        <f t="shared" si="1"/>
        <v>68</v>
      </c>
    </row>
    <row r="50" spans="1:11" x14ac:dyDescent="0.3">
      <c r="A50" s="3">
        <f>Обработка!$A$99</f>
        <v>46285</v>
      </c>
      <c r="B50" s="4" t="str">
        <f>Обработка!$B$99</f>
        <v>Завалишин Д.Л.</v>
      </c>
      <c r="C50" s="4" t="str">
        <f>Обработка!$C$99</f>
        <v>Г 1800</v>
      </c>
      <c r="D50" s="4">
        <f>Обработка!$E$99</f>
        <v>0</v>
      </c>
      <c r="E50" s="4">
        <f>Обработка!$F$99</f>
        <v>0</v>
      </c>
      <c r="F50" s="4">
        <f>Обработка!$H$99</f>
        <v>13</v>
      </c>
      <c r="G50" s="9">
        <f>(D50+E50)*INDEX(Настройки!$G$10:$G$16,MATCH($C50,Настройки!$A$10:$A$16,0))</f>
        <v>0</v>
      </c>
      <c r="H50" s="9">
        <f>F50*INDEX(Настройки!$H$10:$H$16,MATCH($C50,Настройки!$A$10:$A$16,0))</f>
        <v>52</v>
      </c>
      <c r="I50" s="9">
        <f>F50*INDEX(Настройки!$I$10:$I$16,MATCH($C50,Настройки!$A$10:$A$16,0))</f>
        <v>156</v>
      </c>
      <c r="J50" s="9">
        <f>F50*INDEX(Настройки!$J$10:$J$16,MATCH($C50,Настройки!$A$10:$A$16,0))</f>
        <v>91</v>
      </c>
      <c r="K50" s="9">
        <f t="shared" si="1"/>
        <v>299</v>
      </c>
    </row>
    <row r="51" spans="1:11" x14ac:dyDescent="0.3">
      <c r="A51" s="6">
        <f>Обработка!$A$100</f>
        <v>46285</v>
      </c>
      <c r="B51" s="7" t="str">
        <f>Обработка!$B$100</f>
        <v>Завалишин Д.Л.</v>
      </c>
      <c r="C51" s="7" t="str">
        <f>Обработка!$C$100</f>
        <v>Г 800</v>
      </c>
      <c r="D51" s="7">
        <f>Обработка!$E$100</f>
        <v>0</v>
      </c>
      <c r="E51" s="7">
        <f>Обработка!$F$100</f>
        <v>0</v>
      </c>
      <c r="F51" s="7">
        <f>Обработка!$H$100</f>
        <v>8</v>
      </c>
      <c r="G51" s="8">
        <f>(D51+E51)*INDEX(Настройки!$G$10:$G$16,MATCH($C51,Настройки!$A$10:$A$16,0))</f>
        <v>0</v>
      </c>
      <c r="H51" s="8">
        <f>F51*INDEX(Настройки!$H$10:$H$16,MATCH($C51,Настройки!$A$10:$A$16,0))</f>
        <v>32</v>
      </c>
      <c r="I51" s="8">
        <f>F51*INDEX(Настройки!$I$10:$I$16,MATCH($C51,Настройки!$A$10:$A$16,0))</f>
        <v>96</v>
      </c>
      <c r="J51" s="8">
        <f>F51*INDEX(Настройки!$J$10:$J$16,MATCH($C51,Настройки!$A$10:$A$16,0))</f>
        <v>56</v>
      </c>
      <c r="K51" s="8">
        <f t="shared" si="1"/>
        <v>184</v>
      </c>
    </row>
    <row r="52" spans="1:11" x14ac:dyDescent="0.3">
      <c r="A52" s="3">
        <f>Обработка!$A$101</f>
        <v>46285</v>
      </c>
      <c r="B52" s="4" t="str">
        <f>Обработка!$B$101</f>
        <v>Завалишин Д.Л.</v>
      </c>
      <c r="C52" s="4" t="str">
        <f>Обработка!$C$101</f>
        <v>Ми-К</v>
      </c>
      <c r="D52" s="4">
        <f>Обработка!$E$101</f>
        <v>0</v>
      </c>
      <c r="E52" s="4">
        <f>Обработка!$F$101</f>
        <v>0</v>
      </c>
      <c r="F52" s="4">
        <f>Обработка!$H$101</f>
        <v>4</v>
      </c>
      <c r="G52" s="9">
        <f>(D52+E52)*INDEX(Настройки!$G$10:$G$16,MATCH($C52,Настройки!$A$10:$A$16,0))</f>
        <v>0</v>
      </c>
      <c r="H52" s="9">
        <f>F52*INDEX(Настройки!$H$10:$H$16,MATCH($C52,Настройки!$A$10:$A$16,0))</f>
        <v>8</v>
      </c>
      <c r="I52" s="9">
        <f>F52*INDEX(Настройки!$I$10:$I$16,MATCH($C52,Настройки!$A$10:$A$16,0))</f>
        <v>20</v>
      </c>
      <c r="J52" s="9">
        <f>F52*INDEX(Настройки!$J$10:$J$16,MATCH($C52,Настройки!$A$10:$A$16,0))</f>
        <v>20</v>
      </c>
      <c r="K52" s="9">
        <f t="shared" si="1"/>
        <v>48</v>
      </c>
    </row>
    <row r="53" spans="1:11" x14ac:dyDescent="0.3">
      <c r="A53" s="6">
        <f>Обработка!$A$102</f>
        <v>46285</v>
      </c>
      <c r="B53" s="7" t="str">
        <f>Обработка!$B$102</f>
        <v>Завалишин Д.Л.</v>
      </c>
      <c r="C53" s="7" t="str">
        <f>Обработка!$C$102</f>
        <v>Ми-П</v>
      </c>
      <c r="D53" s="7">
        <f>Обработка!$E$102</f>
        <v>0</v>
      </c>
      <c r="E53" s="7">
        <f>Обработка!$F$102</f>
        <v>0</v>
      </c>
      <c r="F53" s="7">
        <f>Обработка!$H$102</f>
        <v>1</v>
      </c>
      <c r="G53" s="8">
        <f>(D53+E53)*INDEX(Настройки!$G$10:$G$16,MATCH($C53,Настройки!$A$10:$A$16,0))</f>
        <v>0</v>
      </c>
      <c r="H53" s="8">
        <f>F53*INDEX(Настройки!$H$10:$H$16,MATCH($C53,Настройки!$A$10:$A$16,0))</f>
        <v>2</v>
      </c>
      <c r="I53" s="8">
        <f>F53*INDEX(Настройки!$I$10:$I$16,MATCH($C53,Настройки!$A$10:$A$16,0))</f>
        <v>5</v>
      </c>
      <c r="J53" s="8">
        <f>F53*INDEX(Настройки!$J$10:$J$16,MATCH($C53,Настройки!$A$10:$A$16,0))</f>
        <v>5</v>
      </c>
      <c r="K53" s="8">
        <f t="shared" si="1"/>
        <v>12</v>
      </c>
    </row>
    <row r="54" spans="1:11" x14ac:dyDescent="0.3">
      <c r="A54" t="s">
        <v>49</v>
      </c>
      <c r="D54">
        <f>SUBTOTAL(109,ТаблицаМотивации[Приход])</f>
        <v>49</v>
      </c>
      <c r="E54">
        <f>SUBTOTAL(109,ТаблицаМотивации[Возврат])</f>
        <v>1</v>
      </c>
      <c r="F54">
        <f>SUBTOTAL(109,ТаблицаМотивации[Выбытие])</f>
        <v>180</v>
      </c>
      <c r="G54">
        <f>SUBTOTAL(109,ТаблицаМотивации[Приёмка])</f>
        <v>78</v>
      </c>
      <c r="H54">
        <f>SUBTOTAL(109,ТаблицаМотивации[Брендирование])</f>
        <v>669</v>
      </c>
      <c r="I54">
        <f>SUBTOTAL(109,ТаблицаМотивации[Упаковка])</f>
        <v>1917</v>
      </c>
      <c r="J54">
        <f>SUBTOTAL(109,ТаблицаМотивации[Сборка])</f>
        <v>1158</v>
      </c>
      <c r="K54">
        <f>SUBTOTAL(109,ТаблицаМотивации[Итого])</f>
        <v>3822</v>
      </c>
    </row>
  </sheetData>
  <pageMargins left="0.7" right="0.7" top="0.75" bottom="0.75" header="0.3" footer="0.3"/>
  <pageSetup fitToHeight="0" orientation="landscape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3"/>
  <sheetViews>
    <sheetView showGridLines="0" workbookViewId="0">
      <pane ySplit="4" topLeftCell="A5" activePane="bottomLeft" state="frozen"/>
      <selection pane="bottomLeft" activeCell="E34" sqref="E34"/>
    </sheetView>
  </sheetViews>
  <sheetFormatPr defaultRowHeight="14.4" x14ac:dyDescent="0.3"/>
  <cols>
    <col min="1" max="1" width="23.6640625" customWidth="1"/>
    <col min="2" max="2" width="12.6640625" customWidth="1"/>
    <col min="3" max="15" width="13.6640625" customWidth="1"/>
  </cols>
  <sheetData>
    <row r="1" spans="1:15" ht="21" x14ac:dyDescent="0.4">
      <c r="A1" s="1" t="s">
        <v>50</v>
      </c>
    </row>
    <row r="2" spans="1:15" x14ac:dyDescent="0.3">
      <c r="A2" s="2" t="s">
        <v>51</v>
      </c>
    </row>
    <row r="4" spans="1:15" ht="28.8" x14ac:dyDescent="0.3">
      <c r="A4" s="5" t="s">
        <v>52</v>
      </c>
      <c r="B4" s="5" t="s">
        <v>4</v>
      </c>
      <c r="C4" s="5" t="s">
        <v>21</v>
      </c>
      <c r="D4" s="5" t="s">
        <v>53</v>
      </c>
      <c r="E4" s="5" t="s">
        <v>54</v>
      </c>
      <c r="F4" s="5" t="s">
        <v>55</v>
      </c>
      <c r="G4" s="5" t="s">
        <v>56</v>
      </c>
      <c r="H4" s="5" t="s">
        <v>57</v>
      </c>
      <c r="I4" s="5" t="s">
        <v>58</v>
      </c>
      <c r="J4" s="5" t="s">
        <v>59</v>
      </c>
      <c r="K4" s="5" t="s">
        <v>60</v>
      </c>
      <c r="L4" s="5" t="s">
        <v>61</v>
      </c>
      <c r="M4" s="5" t="s">
        <v>62</v>
      </c>
      <c r="N4" s="5" t="s">
        <v>63</v>
      </c>
      <c r="O4" s="5" t="s">
        <v>64</v>
      </c>
    </row>
    <row r="5" spans="1:15" x14ac:dyDescent="0.3">
      <c r="A5" s="4" t="s">
        <v>65</v>
      </c>
      <c r="B5" s="4" t="s">
        <v>14</v>
      </c>
      <c r="C5" s="3">
        <v>46268</v>
      </c>
      <c r="D5" s="4">
        <v>7</v>
      </c>
      <c r="E5" s="4">
        <f>MAX(0,D5-MAX(0,SUM(Широкая_таблица!$I$13:$I$19)-SUM(Широкая_таблица!$H$13:$H$19)-0))</f>
        <v>0</v>
      </c>
      <c r="F5" s="4">
        <f>IF(DATE(2026,9,14)&lt;$C5+Настройки!$B$6,0,MAX(0,$D5-MAX(0,SUM(Широкая_таблица!$I$13:$I$13)-SUM(Широкая_таблица!$H$13:$H$13)-0)))</f>
        <v>5</v>
      </c>
      <c r="G5" s="4">
        <f>IF(DATE(2026,9,15)&lt;$C5+Настройки!$B$6,0,MAX(0,$D5-MAX(0,SUM(Широкая_таблица!$I$13:$I$14)-SUM(Широкая_таблица!$H$13:$H$14)-0)))</f>
        <v>5</v>
      </c>
      <c r="H5" s="4">
        <f>IF(DATE(2026,9,16)&lt;$C5+Настройки!$B$6,0,MAX(0,$D5-MAX(0,SUM(Широкая_таблица!$I$13:$I$15)-SUM(Широкая_таблица!$H$13:$H$15)-0)))</f>
        <v>4</v>
      </c>
      <c r="I5" s="4">
        <f>IF(DATE(2026,9,17)&lt;$C5+Настройки!$B$6,0,MAX(0,$D5-MAX(0,SUM(Широкая_таблица!$I$13:$I$16)-SUM(Широкая_таблица!$H$13:$H$16)-0)))</f>
        <v>3</v>
      </c>
      <c r="J5" s="4">
        <f>IF(DATE(2026,9,18)&lt;$C5+Настройки!$B$6,0,MAX(0,$D5-MAX(0,SUM(Широкая_таблица!$I$13:$I$17)-SUM(Широкая_таблица!$H$13:$H$17)-0)))</f>
        <v>2</v>
      </c>
      <c r="K5" s="4">
        <f>IF(DATE(2026,9,19)&lt;$C5+Настройки!$B$6,0,MAX(0,$D5-MAX(0,SUM(Широкая_таблица!$I$13:$I$18)-SUM(Широкая_таблица!$H$13:$H$18)-0)))</f>
        <v>2</v>
      </c>
      <c r="L5" s="4">
        <f>IF(DATE(2026,9,20)&lt;$C5+Настройки!$B$6,0,MAX(0,$D5-MAX(0,SUM(Широкая_таблица!$I$13:$I$19)-SUM(Широкая_таблица!$H$13:$H$19)-0)))</f>
        <v>0</v>
      </c>
      <c r="M5" s="4">
        <f t="shared" ref="M5:M22" si="0">SUM(F5:L5)</f>
        <v>21</v>
      </c>
      <c r="N5" s="9">
        <f>INDEX(Настройки!$F$10:$F$16,MATCH($B5,Настройки!$A$10:$A$16,0))</f>
        <v>0.35714285699999998</v>
      </c>
      <c r="O5" s="9">
        <f t="shared" ref="O5:O22" si="1">M5*N5</f>
        <v>7.4999999969999998</v>
      </c>
    </row>
    <row r="6" spans="1:15" x14ac:dyDescent="0.3">
      <c r="A6" s="4" t="s">
        <v>66</v>
      </c>
      <c r="B6" s="4" t="s">
        <v>14</v>
      </c>
      <c r="C6" s="3">
        <v>46272</v>
      </c>
      <c r="D6" s="4">
        <v>13</v>
      </c>
      <c r="E6" s="4">
        <f>MAX(0,D6-MAX(0,SUM(Широкая_таблица!$I$13:$I$19)-SUM(Широкая_таблица!$H$13:$H$19)-7))</f>
        <v>12</v>
      </c>
      <c r="F6" s="4">
        <f>IF(DATE(2026,9,14)&lt;$C6+Настройки!$B$6,0,MAX(0,$D6-MAX(0,SUM(Широкая_таблица!$I$13:$I$13)-SUM(Широкая_таблица!$H$13:$H$13)-7)))</f>
        <v>13</v>
      </c>
      <c r="G6" s="4">
        <f>IF(DATE(2026,9,15)&lt;$C6+Настройки!$B$6,0,MAX(0,$D6-MAX(0,SUM(Широкая_таблица!$I$13:$I$14)-SUM(Широкая_таблица!$H$13:$H$14)-7)))</f>
        <v>13</v>
      </c>
      <c r="H6" s="4">
        <f>IF(DATE(2026,9,16)&lt;$C6+Настройки!$B$6,0,MAX(0,$D6-MAX(0,SUM(Широкая_таблица!$I$13:$I$15)-SUM(Широкая_таблица!$H$13:$H$15)-7)))</f>
        <v>13</v>
      </c>
      <c r="I6" s="4">
        <f>IF(DATE(2026,9,17)&lt;$C6+Настройки!$B$6,0,MAX(0,$D6-MAX(0,SUM(Широкая_таблица!$I$13:$I$16)-SUM(Широкая_таблица!$H$13:$H$16)-7)))</f>
        <v>13</v>
      </c>
      <c r="J6" s="4">
        <f>IF(DATE(2026,9,18)&lt;$C6+Настройки!$B$6,0,MAX(0,$D6-MAX(0,SUM(Широкая_таблица!$I$13:$I$17)-SUM(Широкая_таблица!$H$13:$H$17)-7)))</f>
        <v>13</v>
      </c>
      <c r="K6" s="4">
        <f>IF(DATE(2026,9,19)&lt;$C6+Настройки!$B$6,0,MAX(0,$D6-MAX(0,SUM(Широкая_таблица!$I$13:$I$18)-SUM(Широкая_таблица!$H$13:$H$18)-7)))</f>
        <v>13</v>
      </c>
      <c r="L6" s="4">
        <f>IF(DATE(2026,9,20)&lt;$C6+Настройки!$B$6,0,MAX(0,$D6-MAX(0,SUM(Широкая_таблица!$I$13:$I$19)-SUM(Широкая_таблица!$H$13:$H$19)-7)))</f>
        <v>12</v>
      </c>
      <c r="M6" s="4">
        <f t="shared" si="0"/>
        <v>90</v>
      </c>
      <c r="N6" s="9">
        <f>INDEX(Настройки!$F$10:$F$16,MATCH($B6,Настройки!$A$10:$A$16,0))</f>
        <v>0.35714285699999998</v>
      </c>
      <c r="O6" s="9">
        <f t="shared" si="1"/>
        <v>32.142857129999996</v>
      </c>
    </row>
    <row r="7" spans="1:15" x14ac:dyDescent="0.3">
      <c r="A7" s="4" t="s">
        <v>67</v>
      </c>
      <c r="B7" s="4" t="s">
        <v>14</v>
      </c>
      <c r="C7" s="3">
        <v>46279</v>
      </c>
      <c r="D7" s="4">
        <v>15</v>
      </c>
      <c r="E7" s="4">
        <f>MAX(0,D7-MAX(0,SUM(Широкая_таблица!$I$13:$I$19)-SUM(Широкая_таблица!$H$13:$H$19)-20))</f>
        <v>15</v>
      </c>
      <c r="F7" s="4">
        <f>IF(DATE(2026,9,14)&lt;$C7+Настройки!$B$6,0,MAX(0,$D7-MAX(0,SUM(Широкая_таблица!$I$13:$I$13)-SUM(Широкая_таблица!$H$13:$H$13)-20)))</f>
        <v>0</v>
      </c>
      <c r="G7" s="4">
        <f>IF(DATE(2026,9,15)&lt;$C7+Настройки!$B$6,0,MAX(0,$D7-MAX(0,SUM(Широкая_таблица!$I$13:$I$14)-SUM(Широкая_таблица!$H$13:$H$14)-20)))</f>
        <v>0</v>
      </c>
      <c r="H7" s="4">
        <f>IF(DATE(2026,9,16)&lt;$C7+Настройки!$B$6,0,MAX(0,$D7-MAX(0,SUM(Широкая_таблица!$I$13:$I$15)-SUM(Широкая_таблица!$H$13:$H$15)-20)))</f>
        <v>0</v>
      </c>
      <c r="I7" s="4">
        <f>IF(DATE(2026,9,17)&lt;$C7+Настройки!$B$6,0,MAX(0,$D7-MAX(0,SUM(Широкая_таблица!$I$13:$I$16)-SUM(Широкая_таблица!$H$13:$H$16)-20)))</f>
        <v>0</v>
      </c>
      <c r="J7" s="4">
        <f>IF(DATE(2026,9,18)&lt;$C7+Настройки!$B$6,0,MAX(0,$D7-MAX(0,SUM(Широкая_таблица!$I$13:$I$17)-SUM(Широкая_таблица!$H$13:$H$17)-20)))</f>
        <v>0</v>
      </c>
      <c r="K7" s="4">
        <f>IF(DATE(2026,9,19)&lt;$C7+Настройки!$B$6,0,MAX(0,$D7-MAX(0,SUM(Широкая_таблица!$I$13:$I$18)-SUM(Широкая_таблица!$H$13:$H$18)-20)))</f>
        <v>15</v>
      </c>
      <c r="L7" s="4">
        <f>IF(DATE(2026,9,20)&lt;$C7+Настройки!$B$6,0,MAX(0,$D7-MAX(0,SUM(Широкая_таблица!$I$13:$I$19)-SUM(Широкая_таблица!$H$13:$H$19)-20)))</f>
        <v>15</v>
      </c>
      <c r="M7" s="4">
        <f t="shared" si="0"/>
        <v>30</v>
      </c>
      <c r="N7" s="9">
        <f>INDEX(Настройки!$F$10:$F$16,MATCH($B7,Настройки!$A$10:$A$16,0))</f>
        <v>0.35714285699999998</v>
      </c>
      <c r="O7" s="9">
        <f t="shared" si="1"/>
        <v>10.714285709999999</v>
      </c>
    </row>
    <row r="8" spans="1:15" x14ac:dyDescent="0.3">
      <c r="A8" s="4" t="s">
        <v>68</v>
      </c>
      <c r="B8" s="4" t="s">
        <v>15</v>
      </c>
      <c r="C8" s="3">
        <v>46264</v>
      </c>
      <c r="D8" s="4">
        <v>14</v>
      </c>
      <c r="E8" s="4">
        <f>MAX(0,D8-MAX(0,SUM(Широкая_таблица!$P$13:$P$19)-SUM(Широкая_таблица!$O$13:$O$19)-0))</f>
        <v>1</v>
      </c>
      <c r="F8" s="4">
        <f>IF(DATE(2026,9,14)&lt;$C8+Настройки!$B$6,0,MAX(0,$D8-MAX(0,SUM(Широкая_таблица!$P$13:$P$13)-SUM(Широкая_таблица!$O$13:$O$13)-0)))</f>
        <v>12</v>
      </c>
      <c r="G8" s="4">
        <f>IF(DATE(2026,9,15)&lt;$C8+Настройки!$B$6,0,MAX(0,$D8-MAX(0,SUM(Широкая_таблица!$P$13:$P$14)-SUM(Широкая_таблица!$O$13:$O$14)-0)))</f>
        <v>11</v>
      </c>
      <c r="H8" s="4">
        <f>IF(DATE(2026,9,16)&lt;$C8+Настройки!$B$6,0,MAX(0,$D8-MAX(0,SUM(Широкая_таблица!$P$13:$P$15)-SUM(Широкая_таблица!$O$13:$O$15)-0)))</f>
        <v>8</v>
      </c>
      <c r="I8" s="4">
        <f>IF(DATE(2026,9,17)&lt;$C8+Настройки!$B$6,0,MAX(0,$D8-MAX(0,SUM(Широкая_таблица!$P$13:$P$16)-SUM(Широкая_таблица!$O$13:$O$16)-0)))</f>
        <v>5</v>
      </c>
      <c r="J8" s="4">
        <f>IF(DATE(2026,9,18)&lt;$C8+Настройки!$B$6,0,MAX(0,$D8-MAX(0,SUM(Широкая_таблица!$P$13:$P$17)-SUM(Широкая_таблица!$O$13:$O$17)-0)))</f>
        <v>4</v>
      </c>
      <c r="K8" s="4">
        <f>IF(DATE(2026,9,19)&lt;$C8+Настройки!$B$6,0,MAX(0,$D8-MAX(0,SUM(Широкая_таблица!$P$13:$P$18)-SUM(Широкая_таблица!$O$13:$O$18)-0)))</f>
        <v>4</v>
      </c>
      <c r="L8" s="4">
        <f>IF(DATE(2026,9,20)&lt;$C8+Настройки!$B$6,0,MAX(0,$D8-MAX(0,SUM(Широкая_таблица!$P$13:$P$19)-SUM(Широкая_таблица!$O$13:$O$19)-0)))</f>
        <v>1</v>
      </c>
      <c r="M8" s="4">
        <f t="shared" si="0"/>
        <v>45</v>
      </c>
      <c r="N8" s="9">
        <f>INDEX(Настройки!$F$10:$F$16,MATCH($B8,Настройки!$A$10:$A$16,0))</f>
        <v>0.35714285699999998</v>
      </c>
      <c r="O8" s="9">
        <f t="shared" si="1"/>
        <v>16.071428564999998</v>
      </c>
    </row>
    <row r="9" spans="1:15" x14ac:dyDescent="0.3">
      <c r="A9" s="4" t="s">
        <v>69</v>
      </c>
      <c r="B9" s="4" t="s">
        <v>15</v>
      </c>
      <c r="C9" s="3">
        <v>46270</v>
      </c>
      <c r="D9" s="4">
        <v>2</v>
      </c>
      <c r="E9" s="4">
        <f>MAX(0,D9-MAX(0,SUM(Широкая_таблица!$P$13:$P$19)-SUM(Широкая_таблица!$O$13:$O$19)-14))</f>
        <v>2</v>
      </c>
      <c r="F9" s="4">
        <f>IF(DATE(2026,9,14)&lt;$C9+Настройки!$B$6,0,MAX(0,$D9-MAX(0,SUM(Широкая_таблица!$P$13:$P$13)-SUM(Широкая_таблица!$O$13:$O$13)-14)))</f>
        <v>2</v>
      </c>
      <c r="G9" s="4">
        <f>IF(DATE(2026,9,15)&lt;$C9+Настройки!$B$6,0,MAX(0,$D9-MAX(0,SUM(Широкая_таблица!$P$13:$P$14)-SUM(Широкая_таблица!$O$13:$O$14)-14)))</f>
        <v>2</v>
      </c>
      <c r="H9" s="4">
        <f>IF(DATE(2026,9,16)&lt;$C9+Настройки!$B$6,0,MAX(0,$D9-MAX(0,SUM(Широкая_таблица!$P$13:$P$15)-SUM(Широкая_таблица!$O$13:$O$15)-14)))</f>
        <v>2</v>
      </c>
      <c r="I9" s="4">
        <f>IF(DATE(2026,9,17)&lt;$C9+Настройки!$B$6,0,MAX(0,$D9-MAX(0,SUM(Широкая_таблица!$P$13:$P$16)-SUM(Широкая_таблица!$O$13:$O$16)-14)))</f>
        <v>2</v>
      </c>
      <c r="J9" s="4">
        <f>IF(DATE(2026,9,18)&lt;$C9+Настройки!$B$6,0,MAX(0,$D9-MAX(0,SUM(Широкая_таблица!$P$13:$P$17)-SUM(Широкая_таблица!$O$13:$O$17)-14)))</f>
        <v>2</v>
      </c>
      <c r="K9" s="4">
        <f>IF(DATE(2026,9,19)&lt;$C9+Настройки!$B$6,0,MAX(0,$D9-MAX(0,SUM(Широкая_таблица!$P$13:$P$18)-SUM(Широкая_таблица!$O$13:$O$18)-14)))</f>
        <v>2</v>
      </c>
      <c r="L9" s="4">
        <f>IF(DATE(2026,9,20)&lt;$C9+Настройки!$B$6,0,MAX(0,$D9-MAX(0,SUM(Широкая_таблица!$P$13:$P$19)-SUM(Широкая_таблица!$O$13:$O$19)-14)))</f>
        <v>2</v>
      </c>
      <c r="M9" s="4">
        <f t="shared" si="0"/>
        <v>14</v>
      </c>
      <c r="N9" s="9">
        <f>INDEX(Настройки!$F$10:$F$16,MATCH($B9,Настройки!$A$10:$A$16,0))</f>
        <v>0.35714285699999998</v>
      </c>
      <c r="O9" s="9">
        <f t="shared" si="1"/>
        <v>4.9999999979999998</v>
      </c>
    </row>
    <row r="10" spans="1:15" x14ac:dyDescent="0.3">
      <c r="A10" s="4" t="s">
        <v>70</v>
      </c>
      <c r="B10" s="4" t="s">
        <v>15</v>
      </c>
      <c r="C10" s="3">
        <v>46272</v>
      </c>
      <c r="D10" s="4">
        <v>14</v>
      </c>
      <c r="E10" s="4">
        <f>MAX(0,D10-MAX(0,SUM(Широкая_таблица!$P$13:$P$19)-SUM(Широкая_таблица!$O$13:$O$19)-16))</f>
        <v>14</v>
      </c>
      <c r="F10" s="4">
        <f>IF(DATE(2026,9,14)&lt;$C10+Настройки!$B$6,0,MAX(0,$D10-MAX(0,SUM(Широкая_таблица!$P$13:$P$13)-SUM(Широкая_таблица!$O$13:$O$13)-16)))</f>
        <v>14</v>
      </c>
      <c r="G10" s="4">
        <f>IF(DATE(2026,9,15)&lt;$C10+Настройки!$B$6,0,MAX(0,$D10-MAX(0,SUM(Широкая_таблица!$P$13:$P$14)-SUM(Широкая_таблица!$O$13:$O$14)-16)))</f>
        <v>14</v>
      </c>
      <c r="H10" s="4">
        <f>IF(DATE(2026,9,16)&lt;$C10+Настройки!$B$6,0,MAX(0,$D10-MAX(0,SUM(Широкая_таблица!$P$13:$P$15)-SUM(Широкая_таблица!$O$13:$O$15)-16)))</f>
        <v>14</v>
      </c>
      <c r="I10" s="4">
        <f>IF(DATE(2026,9,17)&lt;$C10+Настройки!$B$6,0,MAX(0,$D10-MAX(0,SUM(Широкая_таблица!$P$13:$P$16)-SUM(Широкая_таблица!$O$13:$O$16)-16)))</f>
        <v>14</v>
      </c>
      <c r="J10" s="4">
        <f>IF(DATE(2026,9,18)&lt;$C10+Настройки!$B$6,0,MAX(0,$D10-MAX(0,SUM(Широкая_таблица!$P$13:$P$17)-SUM(Широкая_таблица!$O$13:$O$17)-16)))</f>
        <v>14</v>
      </c>
      <c r="K10" s="4">
        <f>IF(DATE(2026,9,19)&lt;$C10+Настройки!$B$6,0,MAX(0,$D10-MAX(0,SUM(Широкая_таблица!$P$13:$P$18)-SUM(Широкая_таблица!$O$13:$O$18)-16)))</f>
        <v>14</v>
      </c>
      <c r="L10" s="4">
        <f>IF(DATE(2026,9,20)&lt;$C10+Настройки!$B$6,0,MAX(0,$D10-MAX(0,SUM(Широкая_таблица!$P$13:$P$19)-SUM(Широкая_таблица!$O$13:$O$19)-16)))</f>
        <v>14</v>
      </c>
      <c r="M10" s="4">
        <f t="shared" si="0"/>
        <v>98</v>
      </c>
      <c r="N10" s="9">
        <f>INDEX(Настройки!$F$10:$F$16,MATCH($B10,Настройки!$A$10:$A$16,0))</f>
        <v>0.35714285699999998</v>
      </c>
      <c r="O10" s="9">
        <f t="shared" si="1"/>
        <v>34.999999985999999</v>
      </c>
    </row>
    <row r="11" spans="1:15" x14ac:dyDescent="0.3">
      <c r="A11" s="4" t="s">
        <v>71</v>
      </c>
      <c r="B11" s="4" t="s">
        <v>15</v>
      </c>
      <c r="C11" s="3">
        <v>46275</v>
      </c>
      <c r="D11" s="4">
        <v>10</v>
      </c>
      <c r="E11" s="4">
        <f>MAX(0,D11-MAX(0,SUM(Широкая_таблица!$P$13:$P$19)-SUM(Широкая_таблица!$O$13:$O$19)-30))</f>
        <v>10</v>
      </c>
      <c r="F11" s="4">
        <f>IF(DATE(2026,9,14)&lt;$C11+Настройки!$B$6,0,MAX(0,$D11-MAX(0,SUM(Широкая_таблица!$P$13:$P$13)-SUM(Широкая_таблица!$O$13:$O$13)-30)))</f>
        <v>0</v>
      </c>
      <c r="G11" s="4">
        <f>IF(DATE(2026,9,15)&lt;$C11+Настройки!$B$6,0,MAX(0,$D11-MAX(0,SUM(Широкая_таблица!$P$13:$P$14)-SUM(Широкая_таблица!$O$13:$O$14)-30)))</f>
        <v>10</v>
      </c>
      <c r="H11" s="4">
        <f>IF(DATE(2026,9,16)&lt;$C11+Настройки!$B$6,0,MAX(0,$D11-MAX(0,SUM(Широкая_таблица!$P$13:$P$15)-SUM(Широкая_таблица!$O$13:$O$15)-30)))</f>
        <v>10</v>
      </c>
      <c r="I11" s="4">
        <f>IF(DATE(2026,9,17)&lt;$C11+Настройки!$B$6,0,MAX(0,$D11-MAX(0,SUM(Широкая_таблица!$P$13:$P$16)-SUM(Широкая_таблица!$O$13:$O$16)-30)))</f>
        <v>10</v>
      </c>
      <c r="J11" s="4">
        <f>IF(DATE(2026,9,18)&lt;$C11+Настройки!$B$6,0,MAX(0,$D11-MAX(0,SUM(Широкая_таблица!$P$13:$P$17)-SUM(Широкая_таблица!$O$13:$O$17)-30)))</f>
        <v>10</v>
      </c>
      <c r="K11" s="4">
        <f>IF(DATE(2026,9,19)&lt;$C11+Настройки!$B$6,0,MAX(0,$D11-MAX(0,SUM(Широкая_таблица!$P$13:$P$18)-SUM(Широкая_таблица!$O$13:$O$18)-30)))</f>
        <v>10</v>
      </c>
      <c r="L11" s="4">
        <f>IF(DATE(2026,9,20)&lt;$C11+Настройки!$B$6,0,MAX(0,$D11-MAX(0,SUM(Широкая_таблица!$P$13:$P$19)-SUM(Широкая_таблица!$O$13:$O$19)-30)))</f>
        <v>10</v>
      </c>
      <c r="M11" s="4">
        <f t="shared" si="0"/>
        <v>60</v>
      </c>
      <c r="N11" s="9">
        <f>INDEX(Настройки!$F$10:$F$16,MATCH($B11,Настройки!$A$10:$A$16,0))</f>
        <v>0.35714285699999998</v>
      </c>
      <c r="O11" s="9">
        <f t="shared" si="1"/>
        <v>21.428571419999997</v>
      </c>
    </row>
    <row r="12" spans="1:15" x14ac:dyDescent="0.3">
      <c r="A12" s="4" t="s">
        <v>72</v>
      </c>
      <c r="B12" s="4" t="s">
        <v>16</v>
      </c>
      <c r="C12" s="3">
        <v>46272</v>
      </c>
      <c r="D12" s="4">
        <v>1</v>
      </c>
      <c r="E12" s="4">
        <f>MAX(0,D12-MAX(0,SUM(Широкая_таблица!$W$13:$W$19)-SUM(Широкая_таблица!$V$13:$V$19)-0))</f>
        <v>0</v>
      </c>
      <c r="F12" s="4">
        <f>IF(DATE(2026,9,14)&lt;$C12+Настройки!$B$6,0,MAX(0,$D12-MAX(0,SUM(Широкая_таблица!$W$13:$W$13)-SUM(Широкая_таблица!$V$13:$V$13)-0)))</f>
        <v>1</v>
      </c>
      <c r="G12" s="4">
        <f>IF(DATE(2026,9,15)&lt;$C12+Настройки!$B$6,0,MAX(0,$D12-MAX(0,SUM(Широкая_таблица!$W$13:$W$14)-SUM(Широкая_таблица!$V$13:$V$14)-0)))</f>
        <v>0</v>
      </c>
      <c r="H12" s="4">
        <f>IF(DATE(2026,9,16)&lt;$C12+Настройки!$B$6,0,MAX(0,$D12-MAX(0,SUM(Широкая_таблица!$W$13:$W$15)-SUM(Широкая_таблица!$V$13:$V$15)-0)))</f>
        <v>0</v>
      </c>
      <c r="I12" s="4">
        <f>IF(DATE(2026,9,17)&lt;$C12+Настройки!$B$6,0,MAX(0,$D12-MAX(0,SUM(Широкая_таблица!$W$13:$W$16)-SUM(Широкая_таблица!$V$13:$V$16)-0)))</f>
        <v>0</v>
      </c>
      <c r="J12" s="4">
        <f>IF(DATE(2026,9,18)&lt;$C12+Настройки!$B$6,0,MAX(0,$D12-MAX(0,SUM(Широкая_таблица!$W$13:$W$17)-SUM(Широкая_таблица!$V$13:$V$17)-0)))</f>
        <v>0</v>
      </c>
      <c r="K12" s="4">
        <f>IF(DATE(2026,9,19)&lt;$C12+Настройки!$B$6,0,MAX(0,$D12-MAX(0,SUM(Широкая_таблица!$W$13:$W$18)-SUM(Широкая_таблица!$V$13:$V$18)-0)))</f>
        <v>0</v>
      </c>
      <c r="L12" s="4">
        <f>IF(DATE(2026,9,20)&lt;$C12+Настройки!$B$6,0,MAX(0,$D12-MAX(0,SUM(Широкая_таблица!$W$13:$W$19)-SUM(Широкая_таблица!$V$13:$V$19)-0)))</f>
        <v>0</v>
      </c>
      <c r="M12" s="4">
        <f t="shared" si="0"/>
        <v>1</v>
      </c>
      <c r="N12" s="9">
        <f>INDEX(Настройки!$F$10:$F$16,MATCH($B12,Настройки!$A$10:$A$16,0))</f>
        <v>5</v>
      </c>
      <c r="O12" s="9">
        <f t="shared" si="1"/>
        <v>5</v>
      </c>
    </row>
    <row r="13" spans="1:15" x14ac:dyDescent="0.3">
      <c r="A13" s="4" t="s">
        <v>73</v>
      </c>
      <c r="B13" s="4" t="s">
        <v>16</v>
      </c>
      <c r="C13" s="3">
        <v>46278</v>
      </c>
      <c r="D13" s="4">
        <v>2</v>
      </c>
      <c r="E13" s="4">
        <f>MAX(0,D13-MAX(0,SUM(Широкая_таблица!$W$13:$W$19)-SUM(Широкая_таблица!$V$13:$V$19)-1))</f>
        <v>0</v>
      </c>
      <c r="F13" s="4">
        <f>IF(DATE(2026,9,14)&lt;$C13+Настройки!$B$6,0,MAX(0,$D13-MAX(0,SUM(Широкая_таблица!$W$13:$W$13)-SUM(Широкая_таблица!$V$13:$V$13)-1)))</f>
        <v>0</v>
      </c>
      <c r="G13" s="4">
        <f>IF(DATE(2026,9,15)&lt;$C13+Настройки!$B$6,0,MAX(0,$D13-MAX(0,SUM(Широкая_таблица!$W$13:$W$14)-SUM(Широкая_таблица!$V$13:$V$14)-1)))</f>
        <v>0</v>
      </c>
      <c r="H13" s="4">
        <f>IF(DATE(2026,9,16)&lt;$C13+Настройки!$B$6,0,MAX(0,$D13-MAX(0,SUM(Широкая_таблица!$W$13:$W$15)-SUM(Широкая_таблица!$V$13:$V$15)-1)))</f>
        <v>0</v>
      </c>
      <c r="I13" s="4">
        <f>IF(DATE(2026,9,17)&lt;$C13+Настройки!$B$6,0,MAX(0,$D13-MAX(0,SUM(Широкая_таблица!$W$13:$W$16)-SUM(Широкая_таблица!$V$13:$V$16)-1)))</f>
        <v>0</v>
      </c>
      <c r="J13" s="4">
        <f>IF(DATE(2026,9,18)&lt;$C13+Настройки!$B$6,0,MAX(0,$D13-MAX(0,SUM(Широкая_таблица!$W$13:$W$17)-SUM(Широкая_таблица!$V$13:$V$17)-1)))</f>
        <v>1</v>
      </c>
      <c r="K13" s="4">
        <f>IF(DATE(2026,9,19)&lt;$C13+Настройки!$B$6,0,MAX(0,$D13-MAX(0,SUM(Широкая_таблица!$W$13:$W$18)-SUM(Широкая_таблица!$V$13:$V$18)-1)))</f>
        <v>1</v>
      </c>
      <c r="L13" s="4">
        <f>IF(DATE(2026,9,20)&lt;$C13+Настройки!$B$6,0,MAX(0,$D13-MAX(0,SUM(Широкая_таблица!$W$13:$W$19)-SUM(Широкая_таблица!$V$13:$V$19)-1)))</f>
        <v>0</v>
      </c>
      <c r="M13" s="4">
        <f t="shared" si="0"/>
        <v>2</v>
      </c>
      <c r="N13" s="9">
        <f>INDEX(Настройки!$F$10:$F$16,MATCH($B13,Настройки!$A$10:$A$16,0))</f>
        <v>5</v>
      </c>
      <c r="O13" s="9">
        <f t="shared" si="1"/>
        <v>10</v>
      </c>
    </row>
    <row r="14" spans="1:15" x14ac:dyDescent="0.3">
      <c r="A14" s="4" t="s">
        <v>74</v>
      </c>
      <c r="B14" s="4" t="s">
        <v>16</v>
      </c>
      <c r="C14" s="3">
        <v>46279</v>
      </c>
      <c r="D14" s="4">
        <v>14</v>
      </c>
      <c r="E14" s="4">
        <f>MAX(0,D14-MAX(0,SUM(Широкая_таблица!$W$13:$W$19)-SUM(Широкая_таблица!$V$13:$V$19)-3))</f>
        <v>13</v>
      </c>
      <c r="F14" s="4">
        <f>IF(DATE(2026,9,14)&lt;$C14+Настройки!$B$6,0,MAX(0,$D14-MAX(0,SUM(Широкая_таблица!$W$13:$W$13)-SUM(Широкая_таблица!$V$13:$V$13)-3)))</f>
        <v>0</v>
      </c>
      <c r="G14" s="4">
        <f>IF(DATE(2026,9,15)&lt;$C14+Настройки!$B$6,0,MAX(0,$D14-MAX(0,SUM(Широкая_таблица!$W$13:$W$14)-SUM(Широкая_таблица!$V$13:$V$14)-3)))</f>
        <v>0</v>
      </c>
      <c r="H14" s="4">
        <f>IF(DATE(2026,9,16)&lt;$C14+Настройки!$B$6,0,MAX(0,$D14-MAX(0,SUM(Широкая_таблица!$W$13:$W$15)-SUM(Широкая_таблица!$V$13:$V$15)-3)))</f>
        <v>0</v>
      </c>
      <c r="I14" s="4">
        <f>IF(DATE(2026,9,17)&lt;$C14+Настройки!$B$6,0,MAX(0,$D14-MAX(0,SUM(Широкая_таблица!$W$13:$W$16)-SUM(Широкая_таблица!$V$13:$V$16)-3)))</f>
        <v>0</v>
      </c>
      <c r="J14" s="4">
        <f>IF(DATE(2026,9,18)&lt;$C14+Настройки!$B$6,0,MAX(0,$D14-MAX(0,SUM(Широкая_таблица!$W$13:$W$17)-SUM(Широкая_таблица!$V$13:$V$17)-3)))</f>
        <v>0</v>
      </c>
      <c r="K14" s="4">
        <f>IF(DATE(2026,9,19)&lt;$C14+Настройки!$B$6,0,MAX(0,$D14-MAX(0,SUM(Широкая_таблица!$W$13:$W$18)-SUM(Широкая_таблица!$V$13:$V$18)-3)))</f>
        <v>14</v>
      </c>
      <c r="L14" s="4">
        <f>IF(DATE(2026,9,20)&lt;$C14+Настройки!$B$6,0,MAX(0,$D14-MAX(0,SUM(Широкая_таблица!$W$13:$W$19)-SUM(Широкая_таблица!$V$13:$V$19)-3)))</f>
        <v>13</v>
      </c>
      <c r="M14" s="4">
        <f t="shared" si="0"/>
        <v>27</v>
      </c>
      <c r="N14" s="9">
        <f>INDEX(Настройки!$F$10:$F$16,MATCH($B14,Настройки!$A$10:$A$16,0))</f>
        <v>5</v>
      </c>
      <c r="O14" s="9">
        <f t="shared" si="1"/>
        <v>135</v>
      </c>
    </row>
    <row r="15" spans="1:15" x14ac:dyDescent="0.3">
      <c r="A15" s="4" t="s">
        <v>75</v>
      </c>
      <c r="B15" s="4" t="s">
        <v>17</v>
      </c>
      <c r="C15" s="3">
        <v>46275</v>
      </c>
      <c r="D15" s="4">
        <v>125</v>
      </c>
      <c r="E15" s="4">
        <f>MAX(0,D15-MAX(0,SUM(Широкая_таблица!$AD$13:$AD$19)-SUM(Широкая_таблица!$AC$13:$AC$19)-0))</f>
        <v>39</v>
      </c>
      <c r="F15" s="4">
        <f>IF(DATE(2026,9,14)&lt;$C15+Настройки!$B$6,0,MAX(0,$D15-MAX(0,SUM(Широкая_таблица!$AD$13:$AD$13)-SUM(Широкая_таблица!$AC$13:$AC$13)-0)))</f>
        <v>0</v>
      </c>
      <c r="G15" s="4">
        <f>IF(DATE(2026,9,15)&lt;$C15+Настройки!$B$6,0,MAX(0,$D15-MAX(0,SUM(Широкая_таблица!$AD$13:$AD$14)-SUM(Широкая_таблица!$AC$13:$AC$14)-0)))</f>
        <v>106</v>
      </c>
      <c r="H15" s="4">
        <f>IF(DATE(2026,9,16)&lt;$C15+Настройки!$B$6,0,MAX(0,$D15-MAX(0,SUM(Широкая_таблица!$AD$13:$AD$15)-SUM(Широкая_таблица!$AC$13:$AC$15)-0)))</f>
        <v>93</v>
      </c>
      <c r="I15" s="4">
        <f>IF(DATE(2026,9,17)&lt;$C15+Настройки!$B$6,0,MAX(0,$D15-MAX(0,SUM(Широкая_таблица!$AD$13:$AD$16)-SUM(Широкая_таблица!$AC$13:$AC$16)-0)))</f>
        <v>80</v>
      </c>
      <c r="J15" s="4">
        <f>IF(DATE(2026,9,18)&lt;$C15+Настройки!$B$6,0,MAX(0,$D15-MAX(0,SUM(Широкая_таблица!$AD$13:$AD$17)-SUM(Широкая_таблица!$AC$13:$AC$17)-0)))</f>
        <v>67</v>
      </c>
      <c r="K15" s="4">
        <f>IF(DATE(2026,9,19)&lt;$C15+Настройки!$B$6,0,MAX(0,$D15-MAX(0,SUM(Широкая_таблица!$AD$13:$AD$18)-SUM(Широкая_таблица!$AC$13:$AC$18)-0)))</f>
        <v>52</v>
      </c>
      <c r="L15" s="4">
        <f>IF(DATE(2026,9,20)&lt;$C15+Настройки!$B$6,0,MAX(0,$D15-MAX(0,SUM(Широкая_таблица!$AD$13:$AD$19)-SUM(Широкая_таблица!$AC$13:$AC$19)-0)))</f>
        <v>39</v>
      </c>
      <c r="M15" s="4">
        <f t="shared" si="0"/>
        <v>437</v>
      </c>
      <c r="N15" s="9">
        <f>INDEX(Настройки!$F$10:$F$16,MATCH($B15,Настройки!$A$10:$A$16,0))</f>
        <v>5</v>
      </c>
      <c r="O15" s="9">
        <f t="shared" si="1"/>
        <v>2185</v>
      </c>
    </row>
    <row r="16" spans="1:15" x14ac:dyDescent="0.3">
      <c r="A16" s="4" t="s">
        <v>76</v>
      </c>
      <c r="B16" s="4" t="s">
        <v>18</v>
      </c>
      <c r="C16" s="3">
        <v>46265</v>
      </c>
      <c r="D16" s="4">
        <v>4</v>
      </c>
      <c r="E16" s="4">
        <f>MAX(0,D16-MAX(0,SUM(Широкая_таблица!$AK$13:$AK$19)-SUM(Широкая_таблица!$AJ$13:$AJ$19)-0))</f>
        <v>0</v>
      </c>
      <c r="F16" s="4">
        <f>IF(DATE(2026,9,14)&lt;$C16+Настройки!$B$6,0,MAX(0,$D16-MAX(0,SUM(Широкая_таблица!$AK$13:$AK$13)-SUM(Широкая_таблица!$AJ$13:$AJ$13)-0)))</f>
        <v>0</v>
      </c>
      <c r="G16" s="4">
        <f>IF(DATE(2026,9,15)&lt;$C16+Настройки!$B$6,0,MAX(0,$D16-MAX(0,SUM(Широкая_таблица!$AK$13:$AK$14)-SUM(Широкая_таблица!$AJ$13:$AJ$14)-0)))</f>
        <v>0</v>
      </c>
      <c r="H16" s="4">
        <f>IF(DATE(2026,9,16)&lt;$C16+Настройки!$B$6,0,MAX(0,$D16-MAX(0,SUM(Широкая_таблица!$AK$13:$AK$15)-SUM(Широкая_таблица!$AJ$13:$AJ$15)-0)))</f>
        <v>0</v>
      </c>
      <c r="I16" s="4">
        <f>IF(DATE(2026,9,17)&lt;$C16+Настройки!$B$6,0,MAX(0,$D16-MAX(0,SUM(Широкая_таблица!$AK$13:$AK$16)-SUM(Широкая_таблица!$AJ$13:$AJ$16)-0)))</f>
        <v>0</v>
      </c>
      <c r="J16" s="4">
        <f>IF(DATE(2026,9,18)&lt;$C16+Настройки!$B$6,0,MAX(0,$D16-MAX(0,SUM(Широкая_таблица!$AK$13:$AK$17)-SUM(Широкая_таблица!$AJ$13:$AJ$17)-0)))</f>
        <v>0</v>
      </c>
      <c r="K16" s="4">
        <f>IF(DATE(2026,9,19)&lt;$C16+Настройки!$B$6,0,MAX(0,$D16-MAX(0,SUM(Широкая_таблица!$AK$13:$AK$18)-SUM(Широкая_таблица!$AJ$13:$AJ$18)-0)))</f>
        <v>0</v>
      </c>
      <c r="L16" s="4">
        <f>IF(DATE(2026,9,20)&lt;$C16+Настройки!$B$6,0,MAX(0,$D16-MAX(0,SUM(Широкая_таблица!$AK$13:$AK$19)-SUM(Широкая_таблица!$AJ$13:$AJ$19)-0)))</f>
        <v>0</v>
      </c>
      <c r="M16" s="4">
        <f t="shared" si="0"/>
        <v>0</v>
      </c>
      <c r="N16" s="9">
        <f>INDEX(Настройки!$F$10:$F$16,MATCH($B16,Настройки!$A$10:$A$16,0))</f>
        <v>5</v>
      </c>
      <c r="O16" s="9">
        <f t="shared" si="1"/>
        <v>0</v>
      </c>
    </row>
    <row r="17" spans="1:15" x14ac:dyDescent="0.3">
      <c r="A17" s="4" t="s">
        <v>77</v>
      </c>
      <c r="B17" s="4" t="s">
        <v>18</v>
      </c>
      <c r="C17" s="3">
        <v>46272</v>
      </c>
      <c r="D17" s="4">
        <v>2</v>
      </c>
      <c r="E17" s="4">
        <f>MAX(0,D17-MAX(0,SUM(Широкая_таблица!$AK$13:$AK$19)-SUM(Широкая_таблица!$AJ$13:$AJ$19)-4))</f>
        <v>0</v>
      </c>
      <c r="F17" s="4">
        <f>IF(DATE(2026,9,14)&lt;$C17+Настройки!$B$6,0,MAX(0,$D17-MAX(0,SUM(Широкая_таблица!$AK$13:$AK$13)-SUM(Широкая_таблица!$AJ$13:$AJ$13)-4)))</f>
        <v>0</v>
      </c>
      <c r="G17" s="4">
        <f>IF(DATE(2026,9,15)&lt;$C17+Настройки!$B$6,0,MAX(0,$D17-MAX(0,SUM(Широкая_таблица!$AK$13:$AK$14)-SUM(Широкая_таблица!$AJ$13:$AJ$14)-4)))</f>
        <v>0</v>
      </c>
      <c r="H17" s="4">
        <f>IF(DATE(2026,9,16)&lt;$C17+Настройки!$B$6,0,MAX(0,$D17-MAX(0,SUM(Широкая_таблица!$AK$13:$AK$15)-SUM(Широкая_таблица!$AJ$13:$AJ$15)-4)))</f>
        <v>0</v>
      </c>
      <c r="I17" s="4">
        <f>IF(DATE(2026,9,17)&lt;$C17+Настройки!$B$6,0,MAX(0,$D17-MAX(0,SUM(Широкая_таблица!$AK$13:$AK$16)-SUM(Широкая_таблица!$AJ$13:$AJ$16)-4)))</f>
        <v>0</v>
      </c>
      <c r="J17" s="4">
        <f>IF(DATE(2026,9,18)&lt;$C17+Настройки!$B$6,0,MAX(0,$D17-MAX(0,SUM(Широкая_таблица!$AK$13:$AK$17)-SUM(Широкая_таблица!$AJ$13:$AJ$17)-4)))</f>
        <v>0</v>
      </c>
      <c r="K17" s="4">
        <f>IF(DATE(2026,9,19)&lt;$C17+Настройки!$B$6,0,MAX(0,$D17-MAX(0,SUM(Широкая_таблица!$AK$13:$AK$18)-SUM(Широкая_таблица!$AJ$13:$AJ$18)-4)))</f>
        <v>0</v>
      </c>
      <c r="L17" s="4">
        <f>IF(DATE(2026,9,20)&lt;$C17+Настройки!$B$6,0,MAX(0,$D17-MAX(0,SUM(Широкая_таблица!$AK$13:$AK$19)-SUM(Широкая_таблица!$AJ$13:$AJ$19)-4)))</f>
        <v>0</v>
      </c>
      <c r="M17" s="4">
        <f t="shared" si="0"/>
        <v>0</v>
      </c>
      <c r="N17" s="9">
        <f>INDEX(Настройки!$F$10:$F$16,MATCH($B17,Настройки!$A$10:$A$16,0))</f>
        <v>5</v>
      </c>
      <c r="O17" s="9">
        <f t="shared" si="1"/>
        <v>0</v>
      </c>
    </row>
    <row r="18" spans="1:15" x14ac:dyDescent="0.3">
      <c r="A18" s="4" t="s">
        <v>78</v>
      </c>
      <c r="B18" s="4" t="s">
        <v>18</v>
      </c>
      <c r="C18" s="3">
        <v>46276</v>
      </c>
      <c r="D18" s="4">
        <v>64</v>
      </c>
      <c r="E18" s="4">
        <f>MAX(0,D18-MAX(0,SUM(Широкая_таблица!$AK$13:$AK$19)-SUM(Широкая_таблица!$AJ$13:$AJ$19)-6))</f>
        <v>20</v>
      </c>
      <c r="F18" s="4">
        <f>IF(DATE(2026,9,14)&lt;$C18+Настройки!$B$6,0,MAX(0,$D18-MAX(0,SUM(Широкая_таблица!$AK$13:$AK$13)-SUM(Широкая_таблица!$AJ$13:$AJ$13)-6)))</f>
        <v>0</v>
      </c>
      <c r="G18" s="4">
        <f>IF(DATE(2026,9,15)&lt;$C18+Настройки!$B$6,0,MAX(0,$D18-MAX(0,SUM(Широкая_таблица!$AK$13:$AK$14)-SUM(Широкая_таблица!$AJ$13:$AJ$14)-6)))</f>
        <v>0</v>
      </c>
      <c r="H18" s="4">
        <f>IF(DATE(2026,9,16)&lt;$C18+Настройки!$B$6,0,MAX(0,$D18-MAX(0,SUM(Широкая_таблица!$AK$13:$AK$15)-SUM(Широкая_таблица!$AJ$13:$AJ$15)-6)))</f>
        <v>42</v>
      </c>
      <c r="I18" s="4">
        <f>IF(DATE(2026,9,17)&lt;$C18+Настройки!$B$6,0,MAX(0,$D18-MAX(0,SUM(Широкая_таблица!$AK$13:$AK$16)-SUM(Широкая_таблица!$AJ$13:$AJ$16)-6)))</f>
        <v>39</v>
      </c>
      <c r="J18" s="4">
        <f>IF(DATE(2026,9,18)&lt;$C18+Настройки!$B$6,0,MAX(0,$D18-MAX(0,SUM(Широкая_таблица!$AK$13:$AK$17)-SUM(Широкая_таблица!$AJ$13:$AJ$17)-6)))</f>
        <v>35</v>
      </c>
      <c r="K18" s="4">
        <f>IF(DATE(2026,9,19)&lt;$C18+Настройки!$B$6,0,MAX(0,$D18-MAX(0,SUM(Широкая_таблица!$AK$13:$AK$18)-SUM(Широкая_таблица!$AJ$13:$AJ$18)-6)))</f>
        <v>28</v>
      </c>
      <c r="L18" s="4">
        <f>IF(DATE(2026,9,20)&lt;$C18+Настройки!$B$6,0,MAX(0,$D18-MAX(0,SUM(Широкая_таблица!$AK$13:$AK$19)-SUM(Широкая_таблица!$AJ$13:$AJ$19)-6)))</f>
        <v>20</v>
      </c>
      <c r="M18" s="4">
        <f t="shared" si="0"/>
        <v>164</v>
      </c>
      <c r="N18" s="9">
        <f>INDEX(Настройки!$F$10:$F$16,MATCH($B18,Настройки!$A$10:$A$16,0))</f>
        <v>5</v>
      </c>
      <c r="O18" s="9">
        <f t="shared" si="1"/>
        <v>820</v>
      </c>
    </row>
    <row r="19" spans="1:15" x14ac:dyDescent="0.3">
      <c r="A19" s="4" t="s">
        <v>79</v>
      </c>
      <c r="B19" s="4" t="s">
        <v>19</v>
      </c>
      <c r="C19" s="3">
        <v>46275</v>
      </c>
      <c r="D19" s="4">
        <v>3</v>
      </c>
      <c r="E19" s="4">
        <f>MAX(0,D19-MAX(0,SUM(Широкая_таблица!$AR$13:$AR$19)-SUM(Широкая_таблица!$AQ$13:$AQ$19)-0))</f>
        <v>0</v>
      </c>
      <c r="F19" s="4">
        <f>IF(DATE(2026,9,14)&lt;$C19+Настройки!$B$6,0,MAX(0,$D19-MAX(0,SUM(Широкая_таблица!$AR$13:$AR$13)-SUM(Широкая_таблица!$AQ$13:$AQ$13)-0)))</f>
        <v>0</v>
      </c>
      <c r="G19" s="4">
        <f>IF(DATE(2026,9,15)&lt;$C19+Настройки!$B$6,0,MAX(0,$D19-MAX(0,SUM(Широкая_таблица!$AR$13:$AR$14)-SUM(Широкая_таблица!$AQ$13:$AQ$14)-0)))</f>
        <v>0</v>
      </c>
      <c r="H19" s="4">
        <f>IF(DATE(2026,9,16)&lt;$C19+Настройки!$B$6,0,MAX(0,$D19-MAX(0,SUM(Широкая_таблица!$AR$13:$AR$15)-SUM(Широкая_таблица!$AQ$13:$AQ$15)-0)))</f>
        <v>0</v>
      </c>
      <c r="I19" s="4">
        <f>IF(DATE(2026,9,17)&lt;$C19+Настройки!$B$6,0,MAX(0,$D19-MAX(0,SUM(Широкая_таблица!$AR$13:$AR$16)-SUM(Широкая_таблица!$AQ$13:$AQ$16)-0)))</f>
        <v>0</v>
      </c>
      <c r="J19" s="4">
        <f>IF(DATE(2026,9,18)&lt;$C19+Настройки!$B$6,0,MAX(0,$D19-MAX(0,SUM(Широкая_таблица!$AR$13:$AR$17)-SUM(Широкая_таблица!$AQ$13:$AQ$17)-0)))</f>
        <v>0</v>
      </c>
      <c r="K19" s="4">
        <f>IF(DATE(2026,9,19)&lt;$C19+Настройки!$B$6,0,MAX(0,$D19-MAX(0,SUM(Широкая_таблица!$AR$13:$AR$18)-SUM(Широкая_таблица!$AQ$13:$AQ$18)-0)))</f>
        <v>0</v>
      </c>
      <c r="L19" s="4">
        <f>IF(DATE(2026,9,20)&lt;$C19+Настройки!$B$6,0,MAX(0,$D19-MAX(0,SUM(Широкая_таблица!$AR$13:$AR$19)-SUM(Широкая_таблица!$AQ$13:$AQ$19)-0)))</f>
        <v>0</v>
      </c>
      <c r="M19" s="4">
        <f t="shared" si="0"/>
        <v>0</v>
      </c>
      <c r="N19" s="9">
        <f>INDEX(Настройки!$F$10:$F$16,MATCH($B19,Настройки!$A$10:$A$16,0))</f>
        <v>1.363636364</v>
      </c>
      <c r="O19" s="9">
        <f t="shared" si="1"/>
        <v>0</v>
      </c>
    </row>
    <row r="20" spans="1:15" x14ac:dyDescent="0.3">
      <c r="A20" s="4" t="s">
        <v>80</v>
      </c>
      <c r="B20" s="4" t="s">
        <v>19</v>
      </c>
      <c r="C20" s="3">
        <v>46279</v>
      </c>
      <c r="D20" s="4">
        <v>1</v>
      </c>
      <c r="E20" s="4">
        <f>MAX(0,D20-MAX(0,SUM(Широкая_таблица!$AR$13:$AR$19)-SUM(Широкая_таблица!$AQ$13:$AQ$19)-3))</f>
        <v>0</v>
      </c>
      <c r="F20" s="4">
        <f>IF(DATE(2026,9,14)&lt;$C20+Настройки!$B$6,0,MAX(0,$D20-MAX(0,SUM(Широкая_таблица!$AR$13:$AR$13)-SUM(Широкая_таблица!$AQ$13:$AQ$13)-3)))</f>
        <v>0</v>
      </c>
      <c r="G20" s="4">
        <f>IF(DATE(2026,9,15)&lt;$C20+Настройки!$B$6,0,MAX(0,$D20-MAX(0,SUM(Широкая_таблица!$AR$13:$AR$14)-SUM(Широкая_таблица!$AQ$13:$AQ$14)-3)))</f>
        <v>0</v>
      </c>
      <c r="H20" s="4">
        <f>IF(DATE(2026,9,16)&lt;$C20+Настройки!$B$6,0,MAX(0,$D20-MAX(0,SUM(Широкая_таблица!$AR$13:$AR$15)-SUM(Широкая_таблица!$AQ$13:$AQ$15)-3)))</f>
        <v>0</v>
      </c>
      <c r="I20" s="4">
        <f>IF(DATE(2026,9,17)&lt;$C20+Настройки!$B$6,0,MAX(0,$D20-MAX(0,SUM(Широкая_таблица!$AR$13:$AR$16)-SUM(Широкая_таблица!$AQ$13:$AQ$16)-3)))</f>
        <v>0</v>
      </c>
      <c r="J20" s="4">
        <f>IF(DATE(2026,9,18)&lt;$C20+Настройки!$B$6,0,MAX(0,$D20-MAX(0,SUM(Широкая_таблица!$AR$13:$AR$17)-SUM(Широкая_таблица!$AQ$13:$AQ$17)-3)))</f>
        <v>0</v>
      </c>
      <c r="K20" s="4">
        <f>IF(DATE(2026,9,19)&lt;$C20+Настройки!$B$6,0,MAX(0,$D20-MAX(0,SUM(Широкая_таблица!$AR$13:$AR$18)-SUM(Широкая_таблица!$AQ$13:$AQ$18)-3)))</f>
        <v>0</v>
      </c>
      <c r="L20" s="4">
        <f>IF(DATE(2026,9,20)&lt;$C20+Настройки!$B$6,0,MAX(0,$D20-MAX(0,SUM(Широкая_таблица!$AR$13:$AR$19)-SUM(Широкая_таблица!$AQ$13:$AQ$19)-3)))</f>
        <v>0</v>
      </c>
      <c r="M20" s="4">
        <f t="shared" si="0"/>
        <v>0</v>
      </c>
      <c r="N20" s="9">
        <f>INDEX(Настройки!$F$10:$F$16,MATCH($B20,Настройки!$A$10:$A$16,0))</f>
        <v>1.363636364</v>
      </c>
      <c r="O20" s="9">
        <f t="shared" si="1"/>
        <v>0</v>
      </c>
    </row>
    <row r="21" spans="1:15" x14ac:dyDescent="0.3">
      <c r="A21" s="4" t="s">
        <v>81</v>
      </c>
      <c r="B21" s="4" t="s">
        <v>19</v>
      </c>
      <c r="C21" s="3">
        <v>46280</v>
      </c>
      <c r="D21" s="4">
        <v>20</v>
      </c>
      <c r="E21" s="4">
        <f>MAX(0,D21-MAX(0,SUM(Широкая_таблица!$AR$13:$AR$19)-SUM(Широкая_таблица!$AQ$13:$AQ$19)-4))</f>
        <v>10</v>
      </c>
      <c r="F21" s="4">
        <f>IF(DATE(2026,9,14)&lt;$C21+Настройки!$B$6,0,MAX(0,$D21-MAX(0,SUM(Широкая_таблица!$AR$13:$AR$13)-SUM(Широкая_таблица!$AQ$13:$AQ$13)-4)))</f>
        <v>0</v>
      </c>
      <c r="G21" s="4">
        <f>IF(DATE(2026,9,15)&lt;$C21+Настройки!$B$6,0,MAX(0,$D21-MAX(0,SUM(Широкая_таблица!$AR$13:$AR$14)-SUM(Широкая_таблица!$AQ$13:$AQ$14)-4)))</f>
        <v>0</v>
      </c>
      <c r="H21" s="4">
        <f>IF(DATE(2026,9,16)&lt;$C21+Настройки!$B$6,0,MAX(0,$D21-MAX(0,SUM(Широкая_таблица!$AR$13:$AR$15)-SUM(Широкая_таблица!$AQ$13:$AQ$15)-4)))</f>
        <v>0</v>
      </c>
      <c r="I21" s="4">
        <f>IF(DATE(2026,9,17)&lt;$C21+Настройки!$B$6,0,MAX(0,$D21-MAX(0,SUM(Широкая_таблица!$AR$13:$AR$16)-SUM(Широкая_таблица!$AQ$13:$AQ$16)-4)))</f>
        <v>0</v>
      </c>
      <c r="J21" s="4">
        <f>IF(DATE(2026,9,18)&lt;$C21+Настройки!$B$6,0,MAX(0,$D21-MAX(0,SUM(Широкая_таблица!$AR$13:$AR$17)-SUM(Широкая_таблица!$AQ$13:$AQ$17)-4)))</f>
        <v>0</v>
      </c>
      <c r="K21" s="4">
        <f>IF(DATE(2026,9,19)&lt;$C21+Настройки!$B$6,0,MAX(0,$D21-MAX(0,SUM(Широкая_таблица!$AR$13:$AR$18)-SUM(Широкая_таблица!$AQ$13:$AQ$18)-4)))</f>
        <v>0</v>
      </c>
      <c r="L21" s="4">
        <f>IF(DATE(2026,9,20)&lt;$C21+Настройки!$B$6,0,MAX(0,$D21-MAX(0,SUM(Широкая_таблица!$AR$13:$AR$19)-SUM(Широкая_таблица!$AQ$13:$AQ$19)-4)))</f>
        <v>10</v>
      </c>
      <c r="M21" s="4">
        <f t="shared" si="0"/>
        <v>10</v>
      </c>
      <c r="N21" s="9">
        <f>INDEX(Настройки!$F$10:$F$16,MATCH($B21,Настройки!$A$10:$A$16,0))</f>
        <v>1.363636364</v>
      </c>
      <c r="O21" s="9">
        <f t="shared" si="1"/>
        <v>13.636363639999999</v>
      </c>
    </row>
    <row r="22" spans="1:15" x14ac:dyDescent="0.3">
      <c r="A22" s="4" t="s">
        <v>82</v>
      </c>
      <c r="B22" s="4" t="s">
        <v>20</v>
      </c>
      <c r="C22" s="3">
        <v>46275</v>
      </c>
      <c r="D22" s="4">
        <v>22</v>
      </c>
      <c r="E22" s="4">
        <f>MAX(0,D22-MAX(0,SUM(Широкая_таблица!$AY$13:$AY$19)-SUM(Широкая_таблица!$AX$13:$AX$19)-0))</f>
        <v>16</v>
      </c>
      <c r="F22" s="4">
        <f>IF(DATE(2026,9,14)&lt;$C22+Настройки!$B$6,0,MAX(0,$D22-MAX(0,SUM(Широкая_таблица!$AY$13:$AY$13)-SUM(Широкая_таблица!$AX$13:$AX$13)-0)))</f>
        <v>0</v>
      </c>
      <c r="G22" s="4">
        <f>IF(DATE(2026,9,15)&lt;$C22+Настройки!$B$6,0,MAX(0,$D22-MAX(0,SUM(Широкая_таблица!$AY$13:$AY$14)-SUM(Широкая_таблица!$AX$13:$AX$14)-0)))</f>
        <v>20</v>
      </c>
      <c r="H22" s="4">
        <f>IF(DATE(2026,9,16)&lt;$C22+Настройки!$B$6,0,MAX(0,$D22-MAX(0,SUM(Широкая_таблица!$AY$13:$AY$15)-SUM(Широкая_таблица!$AX$13:$AX$15)-0)))</f>
        <v>19</v>
      </c>
      <c r="I22" s="4">
        <f>IF(DATE(2026,9,17)&lt;$C22+Настройки!$B$6,0,MAX(0,$D22-MAX(0,SUM(Широкая_таблица!$AY$13:$AY$16)-SUM(Широкая_таблица!$AX$13:$AX$16)-0)))</f>
        <v>17</v>
      </c>
      <c r="J22" s="4">
        <f>IF(DATE(2026,9,18)&lt;$C22+Настройки!$B$6,0,MAX(0,$D22-MAX(0,SUM(Широкая_таблица!$AY$13:$AY$17)-SUM(Широкая_таблица!$AX$13:$AX$17)-0)))</f>
        <v>17</v>
      </c>
      <c r="K22" s="4">
        <f>IF(DATE(2026,9,19)&lt;$C22+Настройки!$B$6,0,MAX(0,$D22-MAX(0,SUM(Широкая_таблица!$AY$13:$AY$18)-SUM(Широкая_таблица!$AX$13:$AX$18)-0)))</f>
        <v>17</v>
      </c>
      <c r="L22" s="4">
        <f>IF(DATE(2026,9,20)&lt;$C22+Настройки!$B$6,0,MAX(0,$D22-MAX(0,SUM(Широкая_таблица!$AY$13:$AY$19)-SUM(Широкая_таблица!$AX$13:$AX$19)-0)))</f>
        <v>16</v>
      </c>
      <c r="M22" s="4">
        <f t="shared" si="0"/>
        <v>106</v>
      </c>
      <c r="N22" s="9">
        <f>INDEX(Настройки!$F$10:$F$16,MATCH($B22,Настройки!$A$10:$A$16,0))</f>
        <v>0.16304347799999999</v>
      </c>
      <c r="O22" s="9">
        <f t="shared" si="1"/>
        <v>17.282608667999998</v>
      </c>
    </row>
    <row r="23" spans="1:15" x14ac:dyDescent="0.3">
      <c r="A23" s="10" t="s">
        <v>49</v>
      </c>
      <c r="B23" s="10">
        <f t="shared" ref="B23:O23" si="2">SUM(B5:B22)</f>
        <v>0</v>
      </c>
      <c r="C23" s="10">
        <f t="shared" si="2"/>
        <v>832926</v>
      </c>
      <c r="D23" s="10">
        <f t="shared" si="2"/>
        <v>333</v>
      </c>
      <c r="E23" s="10">
        <f t="shared" si="2"/>
        <v>152</v>
      </c>
      <c r="F23" s="10">
        <f t="shared" si="2"/>
        <v>47</v>
      </c>
      <c r="G23" s="10">
        <f t="shared" si="2"/>
        <v>181</v>
      </c>
      <c r="H23" s="10">
        <f t="shared" si="2"/>
        <v>205</v>
      </c>
      <c r="I23" s="10">
        <f t="shared" si="2"/>
        <v>183</v>
      </c>
      <c r="J23" s="10">
        <f t="shared" si="2"/>
        <v>165</v>
      </c>
      <c r="K23" s="10">
        <f t="shared" si="2"/>
        <v>172</v>
      </c>
      <c r="L23" s="10">
        <f t="shared" si="2"/>
        <v>152</v>
      </c>
      <c r="M23" s="10">
        <f t="shared" si="2"/>
        <v>1105</v>
      </c>
      <c r="N23" s="10">
        <f t="shared" si="2"/>
        <v>41.753952568999999</v>
      </c>
      <c r="O23" s="11">
        <f t="shared" si="2"/>
        <v>3313.7761151140003</v>
      </c>
    </row>
  </sheetData>
  <pageMargins left="0.7" right="0.7" top="0.75" bottom="0.75" header="0.3" footer="0.3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11"/>
  <sheetViews>
    <sheetView showGridLines="0"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8.6640625" customWidth="1"/>
    <col min="2" max="2" width="18.6640625" customWidth="1"/>
  </cols>
  <sheetData>
    <row r="1" spans="1:2" ht="21" x14ac:dyDescent="0.4">
      <c r="A1" s="1" t="s">
        <v>83</v>
      </c>
    </row>
    <row r="4" spans="1:2" x14ac:dyDescent="0.3">
      <c r="A4" s="5" t="s">
        <v>84</v>
      </c>
      <c r="B4" s="5" t="s">
        <v>85</v>
      </c>
    </row>
    <row r="5" spans="1:2" x14ac:dyDescent="0.3">
      <c r="A5" s="2" t="s">
        <v>43</v>
      </c>
      <c r="B5" s="9">
        <f>SUM(Фулфилмент!F5:F53)</f>
        <v>500</v>
      </c>
    </row>
    <row r="6" spans="1:2" x14ac:dyDescent="0.3">
      <c r="A6" s="2" t="s">
        <v>44</v>
      </c>
      <c r="B6" s="9">
        <f>SUM(Фулфилмент!G5:G53)</f>
        <v>1630</v>
      </c>
    </row>
    <row r="7" spans="1:2" x14ac:dyDescent="0.3">
      <c r="A7" s="2" t="s">
        <v>45</v>
      </c>
      <c r="B7" s="9">
        <f>SUM(Фулфилмент!H5:H53)</f>
        <v>5020</v>
      </c>
    </row>
    <row r="8" spans="1:2" x14ac:dyDescent="0.3">
      <c r="A8" s="2" t="s">
        <v>46</v>
      </c>
      <c r="B8" s="9">
        <f>SUM(Фулфилмент!I5:I53)</f>
        <v>2540</v>
      </c>
    </row>
    <row r="9" spans="1:2" x14ac:dyDescent="0.3">
      <c r="A9" s="10" t="s">
        <v>86</v>
      </c>
      <c r="B9" s="11">
        <f>SUM(Фулфилмент!J5:J53)</f>
        <v>9690</v>
      </c>
    </row>
    <row r="10" spans="1:2" x14ac:dyDescent="0.3">
      <c r="A10" s="10" t="s">
        <v>9</v>
      </c>
      <c r="B10" s="11">
        <f>Хранение!O23</f>
        <v>3313.7761151140003</v>
      </c>
    </row>
    <row r="11" spans="1:2" x14ac:dyDescent="0.3">
      <c r="A11" s="10" t="s">
        <v>87</v>
      </c>
      <c r="B11" s="11">
        <f>B9+B10</f>
        <v>13003.776115114</v>
      </c>
    </row>
  </sheetData>
  <pageMargins left="0.7" right="0.7" top="0.75" bottom="0.75" header="0.3" footer="0.3"/>
  <pageSetup fitToHeight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DEB70C-FE79-440B-BA2E-AD60529BC4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7</vt:i4>
      </vt:variant>
    </vt:vector>
  </HeadingPairs>
  <TitlesOfParts>
    <vt:vector size="14" baseType="lpstr">
      <vt:lpstr>Настройки</vt:lpstr>
      <vt:lpstr>Широкая_таблица</vt:lpstr>
      <vt:lpstr>Обработка</vt:lpstr>
      <vt:lpstr>Фулфилмент</vt:lpstr>
      <vt:lpstr>Мотивация</vt:lpstr>
      <vt:lpstr>Хранение</vt:lpstr>
      <vt:lpstr>Свод</vt:lpstr>
      <vt:lpstr>Мотивация!Заголовки_для_печати</vt:lpstr>
      <vt:lpstr>Настройки!Заголовки_для_печати</vt:lpstr>
      <vt:lpstr>Обработка!Заголовки_для_печати</vt:lpstr>
      <vt:lpstr>Свод!Заголовки_для_печати</vt:lpstr>
      <vt:lpstr>Фулфилмент!Заголовки_для_печати</vt:lpstr>
      <vt:lpstr>Хранение!Заголовки_для_печати</vt:lpstr>
      <vt:lpstr>Широкая_таблица!Заголовки_для_печати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Puzanov</dc:creator>
  <cp:lastModifiedBy>Пузанов Д.В.</cp:lastModifiedBy>
  <dcterms:created xsi:type="dcterms:W3CDTF">2026-09-23T11:35:08Z</dcterms:created>
  <dcterms:modified xsi:type="dcterms:W3CDTF">2026-09-23T12:26:32Z</dcterms:modified>
</cp:coreProperties>
</file>